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194a8a5e86b3af4/Documents/"/>
    </mc:Choice>
  </mc:AlternateContent>
  <xr:revisionPtr revIDLastSave="5" documentId="13_ncr:1_{21692973-79DB-45D2-B485-89FAE967BE6C}" xr6:coauthVersionLast="47" xr6:coauthVersionMax="47" xr10:uidLastSave="{C4EA9750-E26E-45B2-A59C-2F384984B0E5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F2" i="1" a="1"/>
  <c r="F2" i="1" s="1"/>
  <c r="G2" i="1" s="1"/>
  <c r="G72" i="1" l="1"/>
  <c r="G8" i="1"/>
  <c r="G31" i="1"/>
  <c r="G97" i="1"/>
  <c r="G89" i="1"/>
  <c r="G81" i="1"/>
  <c r="G73" i="1"/>
  <c r="G65" i="1"/>
  <c r="G57" i="1"/>
  <c r="G49" i="1"/>
  <c r="G41" i="1"/>
  <c r="G33" i="1"/>
  <c r="G25" i="1"/>
  <c r="G17" i="1"/>
  <c r="G9" i="1"/>
  <c r="G88" i="1"/>
  <c r="G64" i="1"/>
  <c r="G48" i="1"/>
  <c r="G32" i="1"/>
  <c r="G16" i="1"/>
  <c r="G95" i="1"/>
  <c r="G79" i="1"/>
  <c r="G63" i="1"/>
  <c r="G47" i="1"/>
  <c r="G7" i="1"/>
  <c r="G94" i="1"/>
  <c r="G86" i="1"/>
  <c r="G78" i="1"/>
  <c r="G70" i="1"/>
  <c r="G62" i="1"/>
  <c r="G54" i="1"/>
  <c r="G46" i="1"/>
  <c r="G38" i="1"/>
  <c r="G30" i="1"/>
  <c r="G22" i="1"/>
  <c r="G14" i="1"/>
  <c r="G6" i="1"/>
  <c r="G87" i="1"/>
  <c r="G71" i="1"/>
  <c r="G55" i="1"/>
  <c r="G39" i="1"/>
  <c r="G15" i="1"/>
  <c r="G101" i="1"/>
  <c r="G93" i="1"/>
  <c r="G85" i="1"/>
  <c r="G77" i="1"/>
  <c r="G69" i="1"/>
  <c r="G61" i="1"/>
  <c r="G53" i="1"/>
  <c r="G45" i="1"/>
  <c r="G37" i="1"/>
  <c r="G29" i="1"/>
  <c r="G21" i="1"/>
  <c r="G13" i="1"/>
  <c r="G5" i="1"/>
  <c r="G96" i="1"/>
  <c r="G80" i="1"/>
  <c r="G56" i="1"/>
  <c r="G40" i="1"/>
  <c r="G24" i="1"/>
  <c r="G23" i="1"/>
  <c r="G100" i="1"/>
  <c r="G92" i="1"/>
  <c r="G84" i="1"/>
  <c r="G76" i="1"/>
  <c r="G68" i="1"/>
  <c r="G60" i="1"/>
  <c r="G52" i="1"/>
  <c r="G44" i="1"/>
  <c r="G36" i="1"/>
  <c r="G28" i="1"/>
  <c r="G20" i="1"/>
  <c r="G12" i="1"/>
  <c r="G4" i="1"/>
  <c r="G99" i="1"/>
  <c r="G91" i="1"/>
  <c r="G83" i="1"/>
  <c r="G75" i="1"/>
  <c r="G67" i="1"/>
  <c r="G59" i="1"/>
  <c r="G51" i="1"/>
  <c r="G43" i="1"/>
  <c r="G35" i="1"/>
  <c r="G27" i="1"/>
  <c r="G19" i="1"/>
  <c r="G11" i="1"/>
  <c r="G3" i="1"/>
  <c r="G98" i="1"/>
  <c r="G90" i="1"/>
  <c r="G82" i="1"/>
  <c r="G74" i="1"/>
  <c r="G66" i="1"/>
  <c r="G58" i="1"/>
  <c r="G50" i="1"/>
  <c r="G42" i="1"/>
  <c r="G34" i="1"/>
  <c r="G26" i="1"/>
  <c r="G18" i="1"/>
  <c r="G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<sst xmlns="http://schemas.openxmlformats.org/spreadsheetml/2006/main" count="415" uniqueCount="36">
  <si>
    <t>OrderID</t>
  </si>
  <si>
    <t>Date</t>
  </si>
  <si>
    <t>Product</t>
  </si>
  <si>
    <t>Category</t>
  </si>
  <si>
    <t>Region</t>
  </si>
  <si>
    <t>Sales</t>
  </si>
  <si>
    <t>Quantity</t>
  </si>
  <si>
    <t>Rep</t>
  </si>
  <si>
    <t>Mouse</t>
  </si>
  <si>
    <t>Keyboard</t>
  </si>
  <si>
    <t>Juice Pack</t>
  </si>
  <si>
    <t>Cake Mix</t>
  </si>
  <si>
    <t>Bread</t>
  </si>
  <si>
    <t>Rice Bag</t>
  </si>
  <si>
    <t>Yoghurt</t>
  </si>
  <si>
    <t>Laptop</t>
  </si>
  <si>
    <t>Phone</t>
  </si>
  <si>
    <t>Headphones</t>
  </si>
  <si>
    <t>Tech</t>
  </si>
  <si>
    <t>Grocery</t>
  </si>
  <si>
    <t>Lagos</t>
  </si>
  <si>
    <t>Abuja</t>
  </si>
  <si>
    <t>Kano</t>
  </si>
  <si>
    <t>Ibadan</t>
  </si>
  <si>
    <t>Grace</t>
  </si>
  <si>
    <t>Samuel</t>
  </si>
  <si>
    <t>Musa</t>
  </si>
  <si>
    <t>Aisha</t>
  </si>
  <si>
    <t>Yusuf</t>
  </si>
  <si>
    <t>IF&gt;50000</t>
  </si>
  <si>
    <t>IF&gt;100000</t>
  </si>
  <si>
    <t>DAYS PASSED</t>
  </si>
  <si>
    <t>MONTH</t>
  </si>
  <si>
    <t>IF order =january</t>
  </si>
  <si>
    <t>WEEK NUMBER</t>
  </si>
  <si>
    <t>ORDERS PLACED BEFORE JANUARY15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</si>
</sst>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wrapText="1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selection activeCell="R5" sqref="R5"/>
    </sheetView>
  </sheetViews>
  <sheetFormatPr defaultRowHeight="14.5" x14ac:dyDescent="0.35"/>
  <cols>
    <col min="2" max="2" width="10.453125" bestFit="1" customWidth="1"/>
    <col min="3" max="3" width="31.90625" bestFit="1" customWidth="1"/>
    <col min="4" max="4" width="13.7265625" bestFit="1" customWidth="1"/>
    <col min="5" max="5" width="12" bestFit="1" customWidth="1"/>
    <col min="6" max="6" width="10.453125" customWidth="1"/>
    <col min="7" max="7" width="15.26953125" bestFit="1" customWidth="1"/>
    <col min="12" max="12" width="9.26953125" bestFit="1" customWidth="1"/>
    <col min="18" max="18" width="48" bestFit="1" customWidth="1"/>
  </cols>
  <sheetData>
    <row r="1" spans="1:18" x14ac:dyDescent="0.35">
      <c r="A1" s="1" t="s">
        <v>0</v>
      </c>
      <c r="B1" s="1" t="s">
        <v>1</v>
      </c>
      <c r="C1" s="1" t="s">
        <v>35</v>
      </c>
      <c r="D1" s="1" t="s">
        <v>34</v>
      </c>
      <c r="E1" s="1" t="s">
        <v>31</v>
      </c>
      <c r="F1" s="1" t="s">
        <v>32</v>
      </c>
      <c r="G1" s="1" t="s">
        <v>33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30</v>
      </c>
      <c r="M1" s="1" t="s">
        <v>29</v>
      </c>
      <c r="N1" s="1" t="s">
        <v>6</v>
      </c>
      <c r="O1" s="1" t="s">
        <v>7</v>
      </c>
      <c r="R1" s="2"/>
    </row>
    <row r="2" spans="1:18" x14ac:dyDescent="0.35">
      <c r="A2">
        <v>10101</v>
      </c>
      <c r="B2" s="5">
        <v>45332</v>
      </c>
      <c r="C2" s="6">
        <f>IF(B2&lt;DATE(2024,1,15),1,0)</f>
        <v>0</v>
      </c>
      <c r="D2" s="6">
        <f>WEEKNUM(B2)</f>
        <v>6</v>
      </c>
      <c r="E2" s="6">
        <f ca="1">TODAY()-B2</f>
        <v>730</v>
      </c>
      <c r="F2" t="str" cm="1">
        <f t="array" ref="F2:F101">TEXT(B2:B101,"mmmm")</f>
        <v>February</v>
      </c>
      <c r="G2" t="str">
        <f>IF(F2="january","YES","NO")</f>
        <v>NO</v>
      </c>
      <c r="H2" t="s">
        <v>8</v>
      </c>
      <c r="I2" t="s">
        <v>18</v>
      </c>
      <c r="J2" t="s">
        <v>20</v>
      </c>
      <c r="K2">
        <v>144694</v>
      </c>
      <c r="L2" t="str">
        <f>IF(K2&gt;100000,"YES","NO")</f>
        <v>YES</v>
      </c>
      <c r="M2">
        <f>IF(K2&gt;50000,1,0)</f>
        <v>1</v>
      </c>
      <c r="N2">
        <v>8</v>
      </c>
      <c r="O2" t="s">
        <v>24</v>
      </c>
      <c r="R2" s="3"/>
    </row>
    <row r="3" spans="1:18" x14ac:dyDescent="0.35">
      <c r="A3">
        <v>10102</v>
      </c>
      <c r="B3" s="5">
        <v>45300</v>
      </c>
      <c r="C3" s="6">
        <f t="shared" ref="C3:C66" si="0">IF(B3&lt;DATE(2024,1,15),1,0)</f>
        <v>1</v>
      </c>
      <c r="D3" s="6">
        <f t="shared" ref="D3:D66" si="1">WEEKNUM(B3)</f>
        <v>2</v>
      </c>
      <c r="E3" s="6">
        <f t="shared" ref="E3:E66" ca="1" si="2">TODAY()-B3</f>
        <v>762</v>
      </c>
      <c r="F3" t="str">
        <v>January</v>
      </c>
      <c r="G3" t="str">
        <f t="shared" ref="G3:G66" si="3">IF(F3="january","YES","NO")</f>
        <v>YES</v>
      </c>
      <c r="H3" t="s">
        <v>8</v>
      </c>
      <c r="I3" t="s">
        <v>18</v>
      </c>
      <c r="J3" t="s">
        <v>20</v>
      </c>
      <c r="K3">
        <v>310088</v>
      </c>
      <c r="L3" t="str">
        <f t="shared" ref="L3:L66" si="4">IF(K3&gt;100000,"YES","NO")</f>
        <v>YES</v>
      </c>
      <c r="M3">
        <f t="shared" ref="M3:M66" si="5">IF(K3&gt;50000,1,0)</f>
        <v>1</v>
      </c>
      <c r="N3">
        <v>14</v>
      </c>
      <c r="O3" t="s">
        <v>25</v>
      </c>
      <c r="R3" s="3"/>
    </row>
    <row r="4" spans="1:18" x14ac:dyDescent="0.35">
      <c r="A4">
        <v>10103</v>
      </c>
      <c r="B4" s="5">
        <v>45293</v>
      </c>
      <c r="C4" s="6">
        <f t="shared" si="0"/>
        <v>1</v>
      </c>
      <c r="D4" s="6">
        <f t="shared" si="1"/>
        <v>1</v>
      </c>
      <c r="E4" s="6">
        <f t="shared" ca="1" si="2"/>
        <v>769</v>
      </c>
      <c r="F4" t="str">
        <v>January</v>
      </c>
      <c r="G4" t="str">
        <f t="shared" si="3"/>
        <v>YES</v>
      </c>
      <c r="H4" t="s">
        <v>8</v>
      </c>
      <c r="I4" t="s">
        <v>18</v>
      </c>
      <c r="J4" t="s">
        <v>21</v>
      </c>
      <c r="K4">
        <v>122481</v>
      </c>
      <c r="L4" t="str">
        <f t="shared" si="4"/>
        <v>YES</v>
      </c>
      <c r="M4">
        <f t="shared" si="5"/>
        <v>1</v>
      </c>
      <c r="N4">
        <v>17</v>
      </c>
      <c r="O4" t="s">
        <v>26</v>
      </c>
      <c r="R4" s="4"/>
    </row>
    <row r="5" spans="1:18" x14ac:dyDescent="0.35">
      <c r="A5">
        <v>10104</v>
      </c>
      <c r="B5" s="5">
        <v>45293</v>
      </c>
      <c r="C5" s="6">
        <f t="shared" si="0"/>
        <v>1</v>
      </c>
      <c r="D5" s="6">
        <f t="shared" si="1"/>
        <v>1</v>
      </c>
      <c r="E5" s="6">
        <f t="shared" ca="1" si="2"/>
        <v>769</v>
      </c>
      <c r="F5" t="str">
        <v>January</v>
      </c>
      <c r="G5" t="str">
        <f t="shared" si="3"/>
        <v>YES</v>
      </c>
      <c r="H5" t="s">
        <v>9</v>
      </c>
      <c r="I5" t="s">
        <v>18</v>
      </c>
      <c r="J5" t="s">
        <v>21</v>
      </c>
      <c r="K5">
        <v>341226</v>
      </c>
      <c r="L5" t="str">
        <f t="shared" si="4"/>
        <v>YES</v>
      </c>
      <c r="M5">
        <f t="shared" si="5"/>
        <v>1</v>
      </c>
      <c r="N5">
        <v>23</v>
      </c>
      <c r="O5" t="s">
        <v>26</v>
      </c>
      <c r="R5" s="4"/>
    </row>
    <row r="6" spans="1:18" x14ac:dyDescent="0.35">
      <c r="A6">
        <v>10105</v>
      </c>
      <c r="B6" s="5">
        <v>45318</v>
      </c>
      <c r="C6" s="6">
        <f t="shared" si="0"/>
        <v>0</v>
      </c>
      <c r="D6" s="6">
        <f t="shared" si="1"/>
        <v>4</v>
      </c>
      <c r="E6" s="6">
        <f t="shared" ca="1" si="2"/>
        <v>744</v>
      </c>
      <c r="F6" t="str">
        <v>January</v>
      </c>
      <c r="G6" t="str">
        <f t="shared" si="3"/>
        <v>YES</v>
      </c>
      <c r="H6" t="s">
        <v>10</v>
      </c>
      <c r="I6" t="s">
        <v>19</v>
      </c>
      <c r="J6" t="s">
        <v>22</v>
      </c>
      <c r="K6">
        <v>309444</v>
      </c>
      <c r="L6" t="str">
        <f t="shared" si="4"/>
        <v>YES</v>
      </c>
      <c r="M6">
        <f t="shared" si="5"/>
        <v>1</v>
      </c>
      <c r="N6">
        <v>9</v>
      </c>
      <c r="O6" t="s">
        <v>25</v>
      </c>
      <c r="R6" s="3"/>
    </row>
    <row r="7" spans="1:18" x14ac:dyDescent="0.35">
      <c r="A7">
        <v>10106</v>
      </c>
      <c r="B7" s="5">
        <v>45340</v>
      </c>
      <c r="C7" s="6">
        <f t="shared" si="0"/>
        <v>0</v>
      </c>
      <c r="D7" s="6">
        <f t="shared" si="1"/>
        <v>8</v>
      </c>
      <c r="E7" s="6">
        <f t="shared" ca="1" si="2"/>
        <v>722</v>
      </c>
      <c r="F7" t="str">
        <v>February</v>
      </c>
      <c r="G7" t="str">
        <f t="shared" si="3"/>
        <v>NO</v>
      </c>
      <c r="H7" t="s">
        <v>11</v>
      </c>
      <c r="I7" t="s">
        <v>19</v>
      </c>
      <c r="J7" t="s">
        <v>22</v>
      </c>
      <c r="K7">
        <v>178889</v>
      </c>
      <c r="L7" t="str">
        <f t="shared" si="4"/>
        <v>YES</v>
      </c>
      <c r="M7">
        <f t="shared" si="5"/>
        <v>1</v>
      </c>
      <c r="N7">
        <v>9</v>
      </c>
      <c r="O7" t="s">
        <v>24</v>
      </c>
      <c r="R7" s="4"/>
    </row>
    <row r="8" spans="1:18" x14ac:dyDescent="0.35">
      <c r="A8">
        <v>10107</v>
      </c>
      <c r="B8" s="5">
        <v>45305</v>
      </c>
      <c r="C8" s="6">
        <f t="shared" si="0"/>
        <v>1</v>
      </c>
      <c r="D8" s="6">
        <f t="shared" si="1"/>
        <v>3</v>
      </c>
      <c r="E8" s="6">
        <f t="shared" ca="1" si="2"/>
        <v>757</v>
      </c>
      <c r="F8" t="str">
        <v>January</v>
      </c>
      <c r="G8" t="str">
        <f t="shared" si="3"/>
        <v>YES</v>
      </c>
      <c r="H8" t="s">
        <v>12</v>
      </c>
      <c r="I8" t="s">
        <v>19</v>
      </c>
      <c r="J8" t="s">
        <v>20</v>
      </c>
      <c r="K8">
        <v>49125</v>
      </c>
      <c r="L8" t="str">
        <f t="shared" si="4"/>
        <v>NO</v>
      </c>
      <c r="M8">
        <f t="shared" si="5"/>
        <v>0</v>
      </c>
      <c r="N8">
        <v>13</v>
      </c>
      <c r="O8" t="s">
        <v>25</v>
      </c>
      <c r="R8" s="4"/>
    </row>
    <row r="9" spans="1:18" x14ac:dyDescent="0.35">
      <c r="A9">
        <v>10108</v>
      </c>
      <c r="B9" s="5">
        <v>45314</v>
      </c>
      <c r="C9" s="6">
        <f t="shared" si="0"/>
        <v>0</v>
      </c>
      <c r="D9" s="6">
        <f t="shared" si="1"/>
        <v>4</v>
      </c>
      <c r="E9" s="6">
        <f t="shared" ca="1" si="2"/>
        <v>748</v>
      </c>
      <c r="F9" t="str">
        <v>January</v>
      </c>
      <c r="G9" t="str">
        <f t="shared" si="3"/>
        <v>YES</v>
      </c>
      <c r="H9" t="s">
        <v>12</v>
      </c>
      <c r="I9" t="s">
        <v>19</v>
      </c>
      <c r="J9" t="s">
        <v>23</v>
      </c>
      <c r="K9">
        <v>23280</v>
      </c>
      <c r="L9" t="str">
        <f t="shared" si="4"/>
        <v>NO</v>
      </c>
      <c r="M9">
        <f t="shared" si="5"/>
        <v>0</v>
      </c>
      <c r="N9">
        <v>24</v>
      </c>
      <c r="O9" t="s">
        <v>27</v>
      </c>
      <c r="R9" s="4"/>
    </row>
    <row r="10" spans="1:18" x14ac:dyDescent="0.35">
      <c r="A10">
        <v>10109</v>
      </c>
      <c r="B10" s="5">
        <v>45326</v>
      </c>
      <c r="C10" s="6">
        <f t="shared" si="0"/>
        <v>0</v>
      </c>
      <c r="D10" s="6">
        <f t="shared" si="1"/>
        <v>6</v>
      </c>
      <c r="E10" s="6">
        <f t="shared" ca="1" si="2"/>
        <v>736</v>
      </c>
      <c r="F10" t="str">
        <v>February</v>
      </c>
      <c r="G10" t="str">
        <f t="shared" si="3"/>
        <v>NO</v>
      </c>
      <c r="H10" t="s">
        <v>8</v>
      </c>
      <c r="I10" t="s">
        <v>18</v>
      </c>
      <c r="J10" t="s">
        <v>22</v>
      </c>
      <c r="K10">
        <v>41813</v>
      </c>
      <c r="L10" t="str">
        <f t="shared" si="4"/>
        <v>NO</v>
      </c>
      <c r="M10">
        <f t="shared" si="5"/>
        <v>0</v>
      </c>
      <c r="N10">
        <v>18</v>
      </c>
      <c r="O10" t="s">
        <v>28</v>
      </c>
      <c r="R10" s="3"/>
    </row>
    <row r="11" spans="1:18" x14ac:dyDescent="0.35">
      <c r="A11">
        <v>10110</v>
      </c>
      <c r="B11" s="5">
        <v>45345</v>
      </c>
      <c r="C11" s="6">
        <f t="shared" si="0"/>
        <v>0</v>
      </c>
      <c r="D11" s="6">
        <f t="shared" si="1"/>
        <v>8</v>
      </c>
      <c r="E11" s="6">
        <f t="shared" ca="1" si="2"/>
        <v>717</v>
      </c>
      <c r="F11" t="str">
        <v>February</v>
      </c>
      <c r="G11" t="str">
        <f t="shared" si="3"/>
        <v>NO</v>
      </c>
      <c r="H11" t="s">
        <v>13</v>
      </c>
      <c r="I11" t="s">
        <v>19</v>
      </c>
      <c r="J11" t="s">
        <v>23</v>
      </c>
      <c r="K11">
        <v>303198</v>
      </c>
      <c r="L11" t="str">
        <f t="shared" si="4"/>
        <v>YES</v>
      </c>
      <c r="M11">
        <f t="shared" si="5"/>
        <v>1</v>
      </c>
      <c r="N11">
        <v>7</v>
      </c>
      <c r="O11" t="s">
        <v>25</v>
      </c>
      <c r="R11" s="4"/>
    </row>
    <row r="12" spans="1:18" x14ac:dyDescent="0.35">
      <c r="A12">
        <v>10111</v>
      </c>
      <c r="B12" s="5">
        <v>45294</v>
      </c>
      <c r="C12" s="6">
        <f t="shared" si="0"/>
        <v>1</v>
      </c>
      <c r="D12" s="6">
        <f t="shared" si="1"/>
        <v>1</v>
      </c>
      <c r="E12" s="6">
        <f t="shared" ca="1" si="2"/>
        <v>768</v>
      </c>
      <c r="F12" t="str">
        <v>January</v>
      </c>
      <c r="G12" t="str">
        <f t="shared" si="3"/>
        <v>YES</v>
      </c>
      <c r="H12" t="s">
        <v>10</v>
      </c>
      <c r="I12" t="s">
        <v>19</v>
      </c>
      <c r="J12" t="s">
        <v>23</v>
      </c>
      <c r="K12">
        <v>42333</v>
      </c>
      <c r="L12" t="str">
        <f t="shared" si="4"/>
        <v>NO</v>
      </c>
      <c r="M12">
        <f t="shared" si="5"/>
        <v>0</v>
      </c>
      <c r="N12">
        <v>28</v>
      </c>
      <c r="O12" t="s">
        <v>24</v>
      </c>
      <c r="R12" s="4"/>
    </row>
    <row r="13" spans="1:18" x14ac:dyDescent="0.35">
      <c r="A13">
        <v>10112</v>
      </c>
      <c r="B13" s="5">
        <v>45347</v>
      </c>
      <c r="C13" s="6">
        <f t="shared" si="0"/>
        <v>0</v>
      </c>
      <c r="D13" s="6">
        <f t="shared" si="1"/>
        <v>9</v>
      </c>
      <c r="E13" s="6">
        <f t="shared" ca="1" si="2"/>
        <v>715</v>
      </c>
      <c r="F13" t="str">
        <v>February</v>
      </c>
      <c r="G13" t="str">
        <f t="shared" si="3"/>
        <v>NO</v>
      </c>
      <c r="H13" t="s">
        <v>8</v>
      </c>
      <c r="I13" t="s">
        <v>18</v>
      </c>
      <c r="J13" t="s">
        <v>22</v>
      </c>
      <c r="K13">
        <v>146238</v>
      </c>
      <c r="L13" t="str">
        <f t="shared" si="4"/>
        <v>YES</v>
      </c>
      <c r="M13">
        <f t="shared" si="5"/>
        <v>1</v>
      </c>
      <c r="N13">
        <v>15</v>
      </c>
      <c r="O13" t="s">
        <v>28</v>
      </c>
      <c r="R13" s="4"/>
    </row>
    <row r="14" spans="1:18" x14ac:dyDescent="0.35">
      <c r="A14">
        <v>10113</v>
      </c>
      <c r="B14" s="5">
        <v>45302</v>
      </c>
      <c r="C14" s="6">
        <f t="shared" si="0"/>
        <v>1</v>
      </c>
      <c r="D14" s="6">
        <f t="shared" si="1"/>
        <v>2</v>
      </c>
      <c r="E14" s="6">
        <f t="shared" ca="1" si="2"/>
        <v>760</v>
      </c>
      <c r="F14" t="str">
        <v>January</v>
      </c>
      <c r="G14" t="str">
        <f t="shared" si="3"/>
        <v>YES</v>
      </c>
      <c r="H14" t="s">
        <v>12</v>
      </c>
      <c r="I14" t="s">
        <v>19</v>
      </c>
      <c r="J14" t="s">
        <v>23</v>
      </c>
      <c r="K14">
        <v>110342</v>
      </c>
      <c r="L14" t="str">
        <f t="shared" si="4"/>
        <v>YES</v>
      </c>
      <c r="M14">
        <f t="shared" si="5"/>
        <v>1</v>
      </c>
      <c r="N14">
        <v>22</v>
      </c>
      <c r="O14" t="s">
        <v>28</v>
      </c>
      <c r="R14" s="4"/>
    </row>
    <row r="15" spans="1:18" x14ac:dyDescent="0.35">
      <c r="A15">
        <v>10114</v>
      </c>
      <c r="B15" s="5">
        <v>45336</v>
      </c>
      <c r="C15" s="6">
        <f t="shared" si="0"/>
        <v>0</v>
      </c>
      <c r="D15" s="6">
        <f t="shared" si="1"/>
        <v>7</v>
      </c>
      <c r="E15" s="6">
        <f t="shared" ca="1" si="2"/>
        <v>726</v>
      </c>
      <c r="F15" t="str">
        <v>February</v>
      </c>
      <c r="G15" t="str">
        <f t="shared" si="3"/>
        <v>NO</v>
      </c>
      <c r="H15" t="s">
        <v>8</v>
      </c>
      <c r="I15" t="s">
        <v>18</v>
      </c>
      <c r="J15" t="s">
        <v>21</v>
      </c>
      <c r="K15">
        <v>280543</v>
      </c>
      <c r="L15" t="str">
        <f t="shared" si="4"/>
        <v>YES</v>
      </c>
      <c r="M15">
        <f t="shared" si="5"/>
        <v>1</v>
      </c>
      <c r="N15">
        <v>24</v>
      </c>
      <c r="O15" t="s">
        <v>24</v>
      </c>
      <c r="R15" s="4"/>
    </row>
    <row r="16" spans="1:18" x14ac:dyDescent="0.35">
      <c r="A16">
        <v>10115</v>
      </c>
      <c r="B16" s="5">
        <v>45302</v>
      </c>
      <c r="C16" s="6">
        <f t="shared" si="0"/>
        <v>1</v>
      </c>
      <c r="D16" s="6">
        <f t="shared" si="1"/>
        <v>2</v>
      </c>
      <c r="E16" s="6">
        <f t="shared" ca="1" si="2"/>
        <v>760</v>
      </c>
      <c r="F16" t="str">
        <v>January</v>
      </c>
      <c r="G16" t="str">
        <f t="shared" si="3"/>
        <v>YES</v>
      </c>
      <c r="H16" t="s">
        <v>14</v>
      </c>
      <c r="I16" t="s">
        <v>19</v>
      </c>
      <c r="J16" t="s">
        <v>22</v>
      </c>
      <c r="K16">
        <v>142030</v>
      </c>
      <c r="L16" t="str">
        <f t="shared" si="4"/>
        <v>YES</v>
      </c>
      <c r="M16">
        <f t="shared" si="5"/>
        <v>1</v>
      </c>
      <c r="N16">
        <v>30</v>
      </c>
      <c r="O16" t="s">
        <v>26</v>
      </c>
    </row>
    <row r="17" spans="1:19" x14ac:dyDescent="0.35">
      <c r="A17">
        <v>10116</v>
      </c>
      <c r="B17" s="5">
        <v>45306</v>
      </c>
      <c r="C17" s="6">
        <f t="shared" si="0"/>
        <v>0</v>
      </c>
      <c r="D17" s="6">
        <f t="shared" si="1"/>
        <v>3</v>
      </c>
      <c r="E17" s="6">
        <f t="shared" ca="1" si="2"/>
        <v>756</v>
      </c>
      <c r="F17" t="str">
        <v>January</v>
      </c>
      <c r="G17" t="str">
        <f t="shared" si="3"/>
        <v>YES</v>
      </c>
      <c r="H17" t="s">
        <v>12</v>
      </c>
      <c r="I17" t="s">
        <v>19</v>
      </c>
      <c r="J17" t="s">
        <v>20</v>
      </c>
      <c r="K17">
        <v>120587</v>
      </c>
      <c r="L17" t="str">
        <f t="shared" si="4"/>
        <v>YES</v>
      </c>
      <c r="M17">
        <f t="shared" si="5"/>
        <v>1</v>
      </c>
      <c r="N17">
        <v>27</v>
      </c>
      <c r="O17" t="s">
        <v>25</v>
      </c>
    </row>
    <row r="18" spans="1:19" x14ac:dyDescent="0.35">
      <c r="A18">
        <v>10117</v>
      </c>
      <c r="B18" s="5">
        <v>45343</v>
      </c>
      <c r="C18" s="6">
        <f t="shared" si="0"/>
        <v>0</v>
      </c>
      <c r="D18" s="6">
        <f t="shared" si="1"/>
        <v>8</v>
      </c>
      <c r="E18" s="6">
        <f t="shared" ca="1" si="2"/>
        <v>719</v>
      </c>
      <c r="F18" t="str">
        <v>February</v>
      </c>
      <c r="G18" t="str">
        <f t="shared" si="3"/>
        <v>NO</v>
      </c>
      <c r="H18" t="s">
        <v>12</v>
      </c>
      <c r="I18" t="s">
        <v>19</v>
      </c>
      <c r="J18" t="s">
        <v>22</v>
      </c>
      <c r="K18">
        <v>140873</v>
      </c>
      <c r="L18" t="str">
        <f t="shared" si="4"/>
        <v>YES</v>
      </c>
      <c r="M18">
        <f t="shared" si="5"/>
        <v>1</v>
      </c>
      <c r="N18">
        <v>3</v>
      </c>
      <c r="O18" t="s">
        <v>24</v>
      </c>
    </row>
    <row r="19" spans="1:19" x14ac:dyDescent="0.35">
      <c r="A19">
        <v>10118</v>
      </c>
      <c r="B19" s="5">
        <v>45350</v>
      </c>
      <c r="C19" s="6">
        <f t="shared" si="0"/>
        <v>0</v>
      </c>
      <c r="D19" s="6">
        <f t="shared" si="1"/>
        <v>9</v>
      </c>
      <c r="E19" s="6">
        <f t="shared" ca="1" si="2"/>
        <v>712</v>
      </c>
      <c r="F19" t="str">
        <v>February</v>
      </c>
      <c r="G19" t="str">
        <f t="shared" si="3"/>
        <v>NO</v>
      </c>
      <c r="H19" t="s">
        <v>13</v>
      </c>
      <c r="I19" t="s">
        <v>19</v>
      </c>
      <c r="J19" t="s">
        <v>23</v>
      </c>
      <c r="K19">
        <v>111977</v>
      </c>
      <c r="L19" t="str">
        <f t="shared" si="4"/>
        <v>YES</v>
      </c>
      <c r="M19">
        <f t="shared" si="5"/>
        <v>1</v>
      </c>
      <c r="N19">
        <v>21</v>
      </c>
      <c r="O19" t="s">
        <v>27</v>
      </c>
    </row>
    <row r="20" spans="1:19" x14ac:dyDescent="0.35">
      <c r="A20">
        <v>10119</v>
      </c>
      <c r="B20" s="5">
        <v>45317</v>
      </c>
      <c r="C20" s="6">
        <f t="shared" si="0"/>
        <v>0</v>
      </c>
      <c r="D20" s="6">
        <f t="shared" si="1"/>
        <v>4</v>
      </c>
      <c r="E20" s="6">
        <f t="shared" ca="1" si="2"/>
        <v>745</v>
      </c>
      <c r="F20" t="str">
        <v>January</v>
      </c>
      <c r="G20" t="str">
        <f t="shared" si="3"/>
        <v>YES</v>
      </c>
      <c r="H20" t="s">
        <v>14</v>
      </c>
      <c r="I20" t="s">
        <v>19</v>
      </c>
      <c r="J20" t="s">
        <v>21</v>
      </c>
      <c r="K20">
        <v>139373</v>
      </c>
      <c r="L20" t="str">
        <f t="shared" si="4"/>
        <v>YES</v>
      </c>
      <c r="M20">
        <f t="shared" si="5"/>
        <v>1</v>
      </c>
      <c r="N20">
        <v>5</v>
      </c>
      <c r="O20" t="s">
        <v>24</v>
      </c>
      <c r="R20" s="4"/>
      <c r="S20" s="6"/>
    </row>
    <row r="21" spans="1:19" x14ac:dyDescent="0.35">
      <c r="A21">
        <v>10120</v>
      </c>
      <c r="B21" s="5">
        <v>45339</v>
      </c>
      <c r="C21" s="6">
        <f t="shared" si="0"/>
        <v>0</v>
      </c>
      <c r="D21" s="6">
        <f t="shared" si="1"/>
        <v>7</v>
      </c>
      <c r="E21" s="6">
        <f t="shared" ca="1" si="2"/>
        <v>723</v>
      </c>
      <c r="F21" t="str">
        <v>February</v>
      </c>
      <c r="G21" t="str">
        <f t="shared" si="3"/>
        <v>NO</v>
      </c>
      <c r="H21" t="s">
        <v>9</v>
      </c>
      <c r="I21" t="s">
        <v>18</v>
      </c>
      <c r="J21" t="s">
        <v>23</v>
      </c>
      <c r="K21">
        <v>306991</v>
      </c>
      <c r="L21" t="str">
        <f t="shared" si="4"/>
        <v>YES</v>
      </c>
      <c r="M21">
        <f t="shared" si="5"/>
        <v>1</v>
      </c>
      <c r="N21">
        <v>14</v>
      </c>
      <c r="O21" t="s">
        <v>26</v>
      </c>
    </row>
    <row r="22" spans="1:19" x14ac:dyDescent="0.35">
      <c r="A22">
        <v>10121</v>
      </c>
      <c r="B22" s="5">
        <v>45317</v>
      </c>
      <c r="C22" s="6">
        <f t="shared" si="0"/>
        <v>0</v>
      </c>
      <c r="D22" s="6">
        <f t="shared" si="1"/>
        <v>4</v>
      </c>
      <c r="E22" s="6">
        <f t="shared" ca="1" si="2"/>
        <v>745</v>
      </c>
      <c r="F22" t="str">
        <v>January</v>
      </c>
      <c r="G22" t="str">
        <f t="shared" si="3"/>
        <v>YES</v>
      </c>
      <c r="H22" t="s">
        <v>12</v>
      </c>
      <c r="I22" t="s">
        <v>19</v>
      </c>
      <c r="J22" t="s">
        <v>21</v>
      </c>
      <c r="K22">
        <v>73025</v>
      </c>
      <c r="L22" t="str">
        <f t="shared" si="4"/>
        <v>NO</v>
      </c>
      <c r="M22">
        <f t="shared" si="5"/>
        <v>1</v>
      </c>
      <c r="N22">
        <v>17</v>
      </c>
      <c r="O22" t="s">
        <v>27</v>
      </c>
    </row>
    <row r="23" spans="1:19" x14ac:dyDescent="0.35">
      <c r="A23">
        <v>10122</v>
      </c>
      <c r="B23" s="5">
        <v>45297</v>
      </c>
      <c r="C23" s="6">
        <f t="shared" si="0"/>
        <v>1</v>
      </c>
      <c r="D23" s="6">
        <f t="shared" si="1"/>
        <v>1</v>
      </c>
      <c r="E23" s="6">
        <f t="shared" ca="1" si="2"/>
        <v>765</v>
      </c>
      <c r="F23" t="str">
        <v>January</v>
      </c>
      <c r="G23" t="str">
        <f t="shared" si="3"/>
        <v>YES</v>
      </c>
      <c r="H23" t="s">
        <v>15</v>
      </c>
      <c r="I23" t="s">
        <v>18</v>
      </c>
      <c r="J23" t="s">
        <v>20</v>
      </c>
      <c r="K23">
        <v>80632</v>
      </c>
      <c r="L23" t="str">
        <f t="shared" si="4"/>
        <v>NO</v>
      </c>
      <c r="M23">
        <f t="shared" si="5"/>
        <v>1</v>
      </c>
      <c r="N23">
        <v>21</v>
      </c>
      <c r="O23" t="s">
        <v>24</v>
      </c>
    </row>
    <row r="24" spans="1:19" x14ac:dyDescent="0.35">
      <c r="A24">
        <v>10123</v>
      </c>
      <c r="B24" s="5">
        <v>45342</v>
      </c>
      <c r="C24" s="6">
        <f t="shared" si="0"/>
        <v>0</v>
      </c>
      <c r="D24" s="6">
        <f t="shared" si="1"/>
        <v>8</v>
      </c>
      <c r="E24" s="6">
        <f t="shared" ca="1" si="2"/>
        <v>720</v>
      </c>
      <c r="F24" t="str">
        <v>February</v>
      </c>
      <c r="G24" t="str">
        <f t="shared" si="3"/>
        <v>NO</v>
      </c>
      <c r="H24" t="s">
        <v>16</v>
      </c>
      <c r="I24" t="s">
        <v>18</v>
      </c>
      <c r="J24" t="s">
        <v>20</v>
      </c>
      <c r="K24">
        <v>202228</v>
      </c>
      <c r="L24" t="str">
        <f t="shared" si="4"/>
        <v>YES</v>
      </c>
      <c r="M24">
        <f t="shared" si="5"/>
        <v>1</v>
      </c>
      <c r="N24">
        <v>13</v>
      </c>
      <c r="O24" t="s">
        <v>26</v>
      </c>
    </row>
    <row r="25" spans="1:19" x14ac:dyDescent="0.35">
      <c r="A25">
        <v>10124</v>
      </c>
      <c r="B25" s="5">
        <v>45321</v>
      </c>
      <c r="C25" s="6">
        <f t="shared" si="0"/>
        <v>0</v>
      </c>
      <c r="D25" s="6">
        <f t="shared" si="1"/>
        <v>5</v>
      </c>
      <c r="E25" s="6">
        <f t="shared" ca="1" si="2"/>
        <v>741</v>
      </c>
      <c r="F25" t="str">
        <v>January</v>
      </c>
      <c r="G25" t="str">
        <f t="shared" si="3"/>
        <v>YES</v>
      </c>
      <c r="H25" t="s">
        <v>9</v>
      </c>
      <c r="I25" t="s">
        <v>18</v>
      </c>
      <c r="J25" t="s">
        <v>23</v>
      </c>
      <c r="K25">
        <v>290549</v>
      </c>
      <c r="L25" t="str">
        <f t="shared" si="4"/>
        <v>YES</v>
      </c>
      <c r="M25">
        <f t="shared" si="5"/>
        <v>1</v>
      </c>
      <c r="N25">
        <v>28</v>
      </c>
      <c r="O25" t="s">
        <v>25</v>
      </c>
    </row>
    <row r="26" spans="1:19" x14ac:dyDescent="0.35">
      <c r="A26">
        <v>10125</v>
      </c>
      <c r="B26" s="5">
        <v>45335</v>
      </c>
      <c r="C26" s="6">
        <f t="shared" si="0"/>
        <v>0</v>
      </c>
      <c r="D26" s="6">
        <f t="shared" si="1"/>
        <v>7</v>
      </c>
      <c r="E26" s="6">
        <f t="shared" ca="1" si="2"/>
        <v>727</v>
      </c>
      <c r="F26" t="str">
        <v>February</v>
      </c>
      <c r="G26" t="str">
        <f t="shared" si="3"/>
        <v>NO</v>
      </c>
      <c r="H26" t="s">
        <v>8</v>
      </c>
      <c r="I26" t="s">
        <v>18</v>
      </c>
      <c r="J26" t="s">
        <v>23</v>
      </c>
      <c r="K26">
        <v>336548</v>
      </c>
      <c r="L26" t="str">
        <f t="shared" si="4"/>
        <v>YES</v>
      </c>
      <c r="M26">
        <f t="shared" si="5"/>
        <v>1</v>
      </c>
      <c r="N26">
        <v>11</v>
      </c>
      <c r="O26" t="s">
        <v>25</v>
      </c>
    </row>
    <row r="27" spans="1:19" x14ac:dyDescent="0.35">
      <c r="A27">
        <v>10126</v>
      </c>
      <c r="B27" s="5">
        <v>45310</v>
      </c>
      <c r="C27" s="6">
        <f t="shared" si="0"/>
        <v>0</v>
      </c>
      <c r="D27" s="6">
        <f t="shared" si="1"/>
        <v>3</v>
      </c>
      <c r="E27" s="6">
        <f t="shared" ca="1" si="2"/>
        <v>752</v>
      </c>
      <c r="F27" t="str">
        <v>January</v>
      </c>
      <c r="G27" t="str">
        <f t="shared" si="3"/>
        <v>YES</v>
      </c>
      <c r="H27" t="s">
        <v>16</v>
      </c>
      <c r="I27" t="s">
        <v>18</v>
      </c>
      <c r="J27" t="s">
        <v>21</v>
      </c>
      <c r="K27">
        <v>238381</v>
      </c>
      <c r="L27" t="str">
        <f t="shared" si="4"/>
        <v>YES</v>
      </c>
      <c r="M27">
        <f t="shared" si="5"/>
        <v>1</v>
      </c>
      <c r="N27">
        <v>1</v>
      </c>
      <c r="O27" t="s">
        <v>28</v>
      </c>
    </row>
    <row r="28" spans="1:19" x14ac:dyDescent="0.35">
      <c r="A28">
        <v>10127</v>
      </c>
      <c r="B28" s="5">
        <v>45324</v>
      </c>
      <c r="C28" s="6">
        <f t="shared" si="0"/>
        <v>0</v>
      </c>
      <c r="D28" s="6">
        <f t="shared" si="1"/>
        <v>5</v>
      </c>
      <c r="E28" s="6">
        <f t="shared" ca="1" si="2"/>
        <v>738</v>
      </c>
      <c r="F28" t="str">
        <v>February</v>
      </c>
      <c r="G28" t="str">
        <f t="shared" si="3"/>
        <v>NO</v>
      </c>
      <c r="H28" t="s">
        <v>11</v>
      </c>
      <c r="I28" t="s">
        <v>19</v>
      </c>
      <c r="J28" t="s">
        <v>20</v>
      </c>
      <c r="K28">
        <v>328337</v>
      </c>
      <c r="L28" t="str">
        <f t="shared" si="4"/>
        <v>YES</v>
      </c>
      <c r="M28">
        <f t="shared" si="5"/>
        <v>1</v>
      </c>
      <c r="N28">
        <v>10</v>
      </c>
      <c r="O28" t="s">
        <v>26</v>
      </c>
    </row>
    <row r="29" spans="1:19" x14ac:dyDescent="0.35">
      <c r="A29">
        <v>10128</v>
      </c>
      <c r="B29" s="5">
        <v>45330</v>
      </c>
      <c r="C29" s="6">
        <f t="shared" si="0"/>
        <v>0</v>
      </c>
      <c r="D29" s="6">
        <f t="shared" si="1"/>
        <v>6</v>
      </c>
      <c r="E29" s="6">
        <f t="shared" ca="1" si="2"/>
        <v>732</v>
      </c>
      <c r="F29" t="str">
        <v>February</v>
      </c>
      <c r="G29" t="str">
        <f t="shared" si="3"/>
        <v>NO</v>
      </c>
      <c r="H29" t="s">
        <v>10</v>
      </c>
      <c r="I29" t="s">
        <v>19</v>
      </c>
      <c r="J29" t="s">
        <v>21</v>
      </c>
      <c r="K29">
        <v>196538</v>
      </c>
      <c r="L29" t="str">
        <f t="shared" si="4"/>
        <v>YES</v>
      </c>
      <c r="M29">
        <f t="shared" si="5"/>
        <v>1</v>
      </c>
      <c r="N29">
        <v>25</v>
      </c>
      <c r="O29" t="s">
        <v>24</v>
      </c>
    </row>
    <row r="30" spans="1:19" x14ac:dyDescent="0.35">
      <c r="A30">
        <v>10129</v>
      </c>
      <c r="B30" s="5">
        <v>45326</v>
      </c>
      <c r="C30" s="6">
        <f t="shared" si="0"/>
        <v>0</v>
      </c>
      <c r="D30" s="6">
        <f t="shared" si="1"/>
        <v>6</v>
      </c>
      <c r="E30" s="6">
        <f t="shared" ca="1" si="2"/>
        <v>736</v>
      </c>
      <c r="F30" t="str">
        <v>February</v>
      </c>
      <c r="G30" t="str">
        <f t="shared" si="3"/>
        <v>NO</v>
      </c>
      <c r="H30" t="s">
        <v>9</v>
      </c>
      <c r="I30" t="s">
        <v>18</v>
      </c>
      <c r="J30" t="s">
        <v>20</v>
      </c>
      <c r="K30">
        <v>314519</v>
      </c>
      <c r="L30" t="str">
        <f t="shared" si="4"/>
        <v>YES</v>
      </c>
      <c r="M30">
        <f t="shared" si="5"/>
        <v>1</v>
      </c>
      <c r="N30">
        <v>11</v>
      </c>
      <c r="O30" t="s">
        <v>27</v>
      </c>
    </row>
    <row r="31" spans="1:19" x14ac:dyDescent="0.35">
      <c r="A31">
        <v>10130</v>
      </c>
      <c r="B31" s="5">
        <v>45293</v>
      </c>
      <c r="C31" s="6">
        <f t="shared" si="0"/>
        <v>1</v>
      </c>
      <c r="D31" s="6">
        <f t="shared" si="1"/>
        <v>1</v>
      </c>
      <c r="E31" s="6">
        <f t="shared" ca="1" si="2"/>
        <v>769</v>
      </c>
      <c r="F31" t="str">
        <v>January</v>
      </c>
      <c r="G31" t="str">
        <f t="shared" si="3"/>
        <v>YES</v>
      </c>
      <c r="H31" t="s">
        <v>8</v>
      </c>
      <c r="I31" t="s">
        <v>18</v>
      </c>
      <c r="J31" t="s">
        <v>23</v>
      </c>
      <c r="K31">
        <v>161725</v>
      </c>
      <c r="L31" t="str">
        <f t="shared" si="4"/>
        <v>YES</v>
      </c>
      <c r="M31">
        <f t="shared" si="5"/>
        <v>1</v>
      </c>
      <c r="N31">
        <v>8</v>
      </c>
      <c r="O31" t="s">
        <v>25</v>
      </c>
    </row>
    <row r="32" spans="1:19" x14ac:dyDescent="0.35">
      <c r="A32">
        <v>10131</v>
      </c>
      <c r="B32" s="5">
        <v>45307</v>
      </c>
      <c r="C32" s="6">
        <f t="shared" si="0"/>
        <v>0</v>
      </c>
      <c r="D32" s="6">
        <f t="shared" si="1"/>
        <v>3</v>
      </c>
      <c r="E32" s="6">
        <f t="shared" ca="1" si="2"/>
        <v>755</v>
      </c>
      <c r="F32" t="str">
        <v>January</v>
      </c>
      <c r="G32" t="str">
        <f t="shared" si="3"/>
        <v>YES</v>
      </c>
      <c r="H32" t="s">
        <v>13</v>
      </c>
      <c r="I32" t="s">
        <v>19</v>
      </c>
      <c r="J32" t="s">
        <v>20</v>
      </c>
      <c r="K32">
        <v>45407</v>
      </c>
      <c r="L32" t="str">
        <f t="shared" si="4"/>
        <v>NO</v>
      </c>
      <c r="M32">
        <f t="shared" si="5"/>
        <v>0</v>
      </c>
      <c r="N32">
        <v>24</v>
      </c>
      <c r="O32" t="s">
        <v>27</v>
      </c>
    </row>
    <row r="33" spans="1:15" x14ac:dyDescent="0.35">
      <c r="A33">
        <v>10132</v>
      </c>
      <c r="B33" s="5">
        <v>45344</v>
      </c>
      <c r="C33" s="6">
        <f t="shared" si="0"/>
        <v>0</v>
      </c>
      <c r="D33" s="6">
        <f t="shared" si="1"/>
        <v>8</v>
      </c>
      <c r="E33" s="6">
        <f t="shared" ca="1" si="2"/>
        <v>718</v>
      </c>
      <c r="F33" t="str">
        <v>February</v>
      </c>
      <c r="G33" t="str">
        <f t="shared" si="3"/>
        <v>NO</v>
      </c>
      <c r="H33" t="s">
        <v>8</v>
      </c>
      <c r="I33" t="s">
        <v>18</v>
      </c>
      <c r="J33" t="s">
        <v>21</v>
      </c>
      <c r="K33">
        <v>67814</v>
      </c>
      <c r="L33" t="str">
        <f t="shared" si="4"/>
        <v>NO</v>
      </c>
      <c r="M33">
        <f t="shared" si="5"/>
        <v>1</v>
      </c>
      <c r="N33">
        <v>22</v>
      </c>
      <c r="O33" t="s">
        <v>27</v>
      </c>
    </row>
    <row r="34" spans="1:15" x14ac:dyDescent="0.35">
      <c r="A34">
        <v>10133</v>
      </c>
      <c r="B34" s="5">
        <v>45352</v>
      </c>
      <c r="C34" s="6">
        <f t="shared" si="0"/>
        <v>0</v>
      </c>
      <c r="D34" s="6">
        <f t="shared" si="1"/>
        <v>9</v>
      </c>
      <c r="E34" s="6">
        <f t="shared" ca="1" si="2"/>
        <v>710</v>
      </c>
      <c r="F34" t="str">
        <v>March</v>
      </c>
      <c r="G34" t="str">
        <f t="shared" si="3"/>
        <v>NO</v>
      </c>
      <c r="H34" t="s">
        <v>9</v>
      </c>
      <c r="I34" t="s">
        <v>18</v>
      </c>
      <c r="J34" t="s">
        <v>21</v>
      </c>
      <c r="K34">
        <v>139466</v>
      </c>
      <c r="L34" t="str">
        <f t="shared" si="4"/>
        <v>YES</v>
      </c>
      <c r="M34">
        <f t="shared" si="5"/>
        <v>1</v>
      </c>
      <c r="N34">
        <v>17</v>
      </c>
      <c r="O34" t="s">
        <v>26</v>
      </c>
    </row>
    <row r="35" spans="1:15" x14ac:dyDescent="0.35">
      <c r="A35">
        <v>10134</v>
      </c>
      <c r="B35" s="5">
        <v>45319</v>
      </c>
      <c r="C35" s="6">
        <f t="shared" si="0"/>
        <v>0</v>
      </c>
      <c r="D35" s="6">
        <f t="shared" si="1"/>
        <v>5</v>
      </c>
      <c r="E35" s="6">
        <f t="shared" ca="1" si="2"/>
        <v>743</v>
      </c>
      <c r="F35" t="str">
        <v>January</v>
      </c>
      <c r="G35" t="str">
        <f t="shared" si="3"/>
        <v>YES</v>
      </c>
      <c r="H35" t="s">
        <v>10</v>
      </c>
      <c r="I35" t="s">
        <v>19</v>
      </c>
      <c r="J35" t="s">
        <v>21</v>
      </c>
      <c r="K35">
        <v>163929</v>
      </c>
      <c r="L35" t="str">
        <f t="shared" si="4"/>
        <v>YES</v>
      </c>
      <c r="M35">
        <f t="shared" si="5"/>
        <v>1</v>
      </c>
      <c r="N35">
        <v>13</v>
      </c>
      <c r="O35" t="s">
        <v>28</v>
      </c>
    </row>
    <row r="36" spans="1:15" x14ac:dyDescent="0.35">
      <c r="A36">
        <v>10135</v>
      </c>
      <c r="B36" s="5">
        <v>45320</v>
      </c>
      <c r="C36" s="6">
        <f t="shared" si="0"/>
        <v>0</v>
      </c>
      <c r="D36" s="6">
        <f t="shared" si="1"/>
        <v>5</v>
      </c>
      <c r="E36" s="6">
        <f t="shared" ca="1" si="2"/>
        <v>742</v>
      </c>
      <c r="F36" t="str">
        <v>January</v>
      </c>
      <c r="G36" t="str">
        <f t="shared" si="3"/>
        <v>YES</v>
      </c>
      <c r="H36" t="s">
        <v>9</v>
      </c>
      <c r="I36" t="s">
        <v>18</v>
      </c>
      <c r="J36" t="s">
        <v>22</v>
      </c>
      <c r="K36">
        <v>63941</v>
      </c>
      <c r="L36" t="str">
        <f t="shared" si="4"/>
        <v>NO</v>
      </c>
      <c r="M36">
        <f t="shared" si="5"/>
        <v>1</v>
      </c>
      <c r="N36">
        <v>8</v>
      </c>
      <c r="O36" t="s">
        <v>24</v>
      </c>
    </row>
    <row r="37" spans="1:15" x14ac:dyDescent="0.35">
      <c r="A37">
        <v>10136</v>
      </c>
      <c r="B37" s="5">
        <v>45296</v>
      </c>
      <c r="C37" s="6">
        <f t="shared" si="0"/>
        <v>1</v>
      </c>
      <c r="D37" s="6">
        <f t="shared" si="1"/>
        <v>1</v>
      </c>
      <c r="E37" s="6">
        <f t="shared" ca="1" si="2"/>
        <v>766</v>
      </c>
      <c r="F37" t="str">
        <v>January</v>
      </c>
      <c r="G37" t="str">
        <f t="shared" si="3"/>
        <v>YES</v>
      </c>
      <c r="H37" t="s">
        <v>12</v>
      </c>
      <c r="I37" t="s">
        <v>19</v>
      </c>
      <c r="J37" t="s">
        <v>20</v>
      </c>
      <c r="K37">
        <v>308943</v>
      </c>
      <c r="L37" t="str">
        <f t="shared" si="4"/>
        <v>YES</v>
      </c>
      <c r="M37">
        <f t="shared" si="5"/>
        <v>1</v>
      </c>
      <c r="N37">
        <v>18</v>
      </c>
      <c r="O37" t="s">
        <v>24</v>
      </c>
    </row>
    <row r="38" spans="1:15" x14ac:dyDescent="0.35">
      <c r="A38">
        <v>10137</v>
      </c>
      <c r="B38" s="5">
        <v>45329</v>
      </c>
      <c r="C38" s="6">
        <f t="shared" si="0"/>
        <v>0</v>
      </c>
      <c r="D38" s="6">
        <f t="shared" si="1"/>
        <v>6</v>
      </c>
      <c r="E38" s="6">
        <f t="shared" ca="1" si="2"/>
        <v>733</v>
      </c>
      <c r="F38" t="str">
        <v>February</v>
      </c>
      <c r="G38" t="str">
        <f t="shared" si="3"/>
        <v>NO</v>
      </c>
      <c r="H38" t="s">
        <v>10</v>
      </c>
      <c r="I38" t="s">
        <v>19</v>
      </c>
      <c r="J38" t="s">
        <v>20</v>
      </c>
      <c r="K38">
        <v>37720</v>
      </c>
      <c r="L38" t="str">
        <f t="shared" si="4"/>
        <v>NO</v>
      </c>
      <c r="M38">
        <f t="shared" si="5"/>
        <v>0</v>
      </c>
      <c r="N38">
        <v>23</v>
      </c>
      <c r="O38" t="s">
        <v>25</v>
      </c>
    </row>
    <row r="39" spans="1:15" x14ac:dyDescent="0.35">
      <c r="A39">
        <v>10138</v>
      </c>
      <c r="B39" s="5">
        <v>45306</v>
      </c>
      <c r="C39" s="6">
        <f t="shared" si="0"/>
        <v>0</v>
      </c>
      <c r="D39" s="6">
        <f t="shared" si="1"/>
        <v>3</v>
      </c>
      <c r="E39" s="6">
        <f t="shared" ca="1" si="2"/>
        <v>756</v>
      </c>
      <c r="F39" t="str">
        <v>January</v>
      </c>
      <c r="G39" t="str">
        <f t="shared" si="3"/>
        <v>YES</v>
      </c>
      <c r="H39" t="s">
        <v>8</v>
      </c>
      <c r="I39" t="s">
        <v>18</v>
      </c>
      <c r="J39" t="s">
        <v>20</v>
      </c>
      <c r="K39">
        <v>173739</v>
      </c>
      <c r="L39" t="str">
        <f t="shared" si="4"/>
        <v>YES</v>
      </c>
      <c r="M39">
        <f t="shared" si="5"/>
        <v>1</v>
      </c>
      <c r="N39">
        <v>3</v>
      </c>
      <c r="O39" t="s">
        <v>26</v>
      </c>
    </row>
    <row r="40" spans="1:15" x14ac:dyDescent="0.35">
      <c r="A40">
        <v>10139</v>
      </c>
      <c r="B40" s="5">
        <v>45307</v>
      </c>
      <c r="C40" s="6">
        <f t="shared" si="0"/>
        <v>0</v>
      </c>
      <c r="D40" s="6">
        <f t="shared" si="1"/>
        <v>3</v>
      </c>
      <c r="E40" s="6">
        <f t="shared" ca="1" si="2"/>
        <v>755</v>
      </c>
      <c r="F40" t="str">
        <v>January</v>
      </c>
      <c r="G40" t="str">
        <f t="shared" si="3"/>
        <v>YES</v>
      </c>
      <c r="H40" t="s">
        <v>17</v>
      </c>
      <c r="I40" t="s">
        <v>18</v>
      </c>
      <c r="J40" t="s">
        <v>22</v>
      </c>
      <c r="K40">
        <v>112821</v>
      </c>
      <c r="L40" t="str">
        <f t="shared" si="4"/>
        <v>YES</v>
      </c>
      <c r="M40">
        <f t="shared" si="5"/>
        <v>1</v>
      </c>
      <c r="N40">
        <v>18</v>
      </c>
      <c r="O40" t="s">
        <v>24</v>
      </c>
    </row>
    <row r="41" spans="1:15" x14ac:dyDescent="0.35">
      <c r="A41">
        <v>10140</v>
      </c>
      <c r="B41" s="5">
        <v>45338</v>
      </c>
      <c r="C41" s="6">
        <f t="shared" si="0"/>
        <v>0</v>
      </c>
      <c r="D41" s="6">
        <f t="shared" si="1"/>
        <v>7</v>
      </c>
      <c r="E41" s="6">
        <f t="shared" ca="1" si="2"/>
        <v>724</v>
      </c>
      <c r="F41" t="str">
        <v>February</v>
      </c>
      <c r="G41" t="str">
        <f t="shared" si="3"/>
        <v>NO</v>
      </c>
      <c r="H41" t="s">
        <v>13</v>
      </c>
      <c r="I41" t="s">
        <v>19</v>
      </c>
      <c r="J41" t="s">
        <v>22</v>
      </c>
      <c r="K41">
        <v>127900</v>
      </c>
      <c r="L41" t="str">
        <f t="shared" si="4"/>
        <v>YES</v>
      </c>
      <c r="M41">
        <f t="shared" si="5"/>
        <v>1</v>
      </c>
      <c r="N41">
        <v>26</v>
      </c>
      <c r="O41" t="s">
        <v>27</v>
      </c>
    </row>
    <row r="42" spans="1:15" x14ac:dyDescent="0.35">
      <c r="A42">
        <v>10141</v>
      </c>
      <c r="B42" s="5">
        <v>45343</v>
      </c>
      <c r="C42" s="6">
        <f t="shared" si="0"/>
        <v>0</v>
      </c>
      <c r="D42" s="6">
        <f t="shared" si="1"/>
        <v>8</v>
      </c>
      <c r="E42" s="6">
        <f t="shared" ca="1" si="2"/>
        <v>719</v>
      </c>
      <c r="F42" t="str">
        <v>February</v>
      </c>
      <c r="G42" t="str">
        <f t="shared" si="3"/>
        <v>NO</v>
      </c>
      <c r="H42" t="s">
        <v>16</v>
      </c>
      <c r="I42" t="s">
        <v>18</v>
      </c>
      <c r="J42" t="s">
        <v>21</v>
      </c>
      <c r="K42">
        <v>49953</v>
      </c>
      <c r="L42" t="str">
        <f t="shared" si="4"/>
        <v>NO</v>
      </c>
      <c r="M42">
        <f t="shared" si="5"/>
        <v>0</v>
      </c>
      <c r="N42">
        <v>4</v>
      </c>
      <c r="O42" t="s">
        <v>27</v>
      </c>
    </row>
    <row r="43" spans="1:15" x14ac:dyDescent="0.35">
      <c r="A43">
        <v>10142</v>
      </c>
      <c r="B43" s="5">
        <v>45314</v>
      </c>
      <c r="C43" s="6">
        <f t="shared" si="0"/>
        <v>0</v>
      </c>
      <c r="D43" s="6">
        <f t="shared" si="1"/>
        <v>4</v>
      </c>
      <c r="E43" s="6">
        <f t="shared" ca="1" si="2"/>
        <v>748</v>
      </c>
      <c r="F43" t="str">
        <v>January</v>
      </c>
      <c r="G43" t="str">
        <f t="shared" si="3"/>
        <v>YES</v>
      </c>
      <c r="H43" t="s">
        <v>16</v>
      </c>
      <c r="I43" t="s">
        <v>18</v>
      </c>
      <c r="J43" t="s">
        <v>22</v>
      </c>
      <c r="K43">
        <v>245355</v>
      </c>
      <c r="L43" t="str">
        <f t="shared" si="4"/>
        <v>YES</v>
      </c>
      <c r="M43">
        <f t="shared" si="5"/>
        <v>1</v>
      </c>
      <c r="N43">
        <v>28</v>
      </c>
      <c r="O43" t="s">
        <v>25</v>
      </c>
    </row>
    <row r="44" spans="1:15" x14ac:dyDescent="0.35">
      <c r="A44">
        <v>10143</v>
      </c>
      <c r="B44" s="5">
        <v>45335</v>
      </c>
      <c r="C44" s="6">
        <f t="shared" si="0"/>
        <v>0</v>
      </c>
      <c r="D44" s="6">
        <f t="shared" si="1"/>
        <v>7</v>
      </c>
      <c r="E44" s="6">
        <f t="shared" ca="1" si="2"/>
        <v>727</v>
      </c>
      <c r="F44" t="str">
        <v>February</v>
      </c>
      <c r="G44" t="str">
        <f t="shared" si="3"/>
        <v>NO</v>
      </c>
      <c r="H44" t="s">
        <v>8</v>
      </c>
      <c r="I44" t="s">
        <v>18</v>
      </c>
      <c r="J44" t="s">
        <v>20</v>
      </c>
      <c r="K44">
        <v>211589</v>
      </c>
      <c r="L44" t="str">
        <f t="shared" si="4"/>
        <v>YES</v>
      </c>
      <c r="M44">
        <f t="shared" si="5"/>
        <v>1</v>
      </c>
      <c r="N44">
        <v>24</v>
      </c>
      <c r="O44" t="s">
        <v>28</v>
      </c>
    </row>
    <row r="45" spans="1:15" x14ac:dyDescent="0.35">
      <c r="A45">
        <v>10144</v>
      </c>
      <c r="B45" s="5">
        <v>45343</v>
      </c>
      <c r="C45" s="6">
        <f t="shared" si="0"/>
        <v>0</v>
      </c>
      <c r="D45" s="6">
        <f t="shared" si="1"/>
        <v>8</v>
      </c>
      <c r="E45" s="6">
        <f t="shared" ca="1" si="2"/>
        <v>719</v>
      </c>
      <c r="F45" t="str">
        <v>February</v>
      </c>
      <c r="G45" t="str">
        <f t="shared" si="3"/>
        <v>NO</v>
      </c>
      <c r="H45" t="s">
        <v>8</v>
      </c>
      <c r="I45" t="s">
        <v>18</v>
      </c>
      <c r="J45" t="s">
        <v>21</v>
      </c>
      <c r="K45">
        <v>100948</v>
      </c>
      <c r="L45" t="str">
        <f t="shared" si="4"/>
        <v>YES</v>
      </c>
      <c r="M45">
        <f t="shared" si="5"/>
        <v>1</v>
      </c>
      <c r="N45">
        <v>7</v>
      </c>
      <c r="O45" t="s">
        <v>26</v>
      </c>
    </row>
    <row r="46" spans="1:15" x14ac:dyDescent="0.35">
      <c r="A46">
        <v>10145</v>
      </c>
      <c r="B46" s="5">
        <v>45320</v>
      </c>
      <c r="C46" s="6">
        <f t="shared" si="0"/>
        <v>0</v>
      </c>
      <c r="D46" s="6">
        <f t="shared" si="1"/>
        <v>5</v>
      </c>
      <c r="E46" s="6">
        <f t="shared" ca="1" si="2"/>
        <v>742</v>
      </c>
      <c r="F46" t="str">
        <v>January</v>
      </c>
      <c r="G46" t="str">
        <f t="shared" si="3"/>
        <v>YES</v>
      </c>
      <c r="H46" t="s">
        <v>11</v>
      </c>
      <c r="I46" t="s">
        <v>19</v>
      </c>
      <c r="J46" t="s">
        <v>22</v>
      </c>
      <c r="K46">
        <v>96700</v>
      </c>
      <c r="L46" t="str">
        <f t="shared" si="4"/>
        <v>NO</v>
      </c>
      <c r="M46">
        <f t="shared" si="5"/>
        <v>1</v>
      </c>
      <c r="N46">
        <v>9</v>
      </c>
      <c r="O46" t="s">
        <v>27</v>
      </c>
    </row>
    <row r="47" spans="1:15" x14ac:dyDescent="0.35">
      <c r="A47">
        <v>10146</v>
      </c>
      <c r="B47" s="5">
        <v>45307</v>
      </c>
      <c r="C47" s="6">
        <f t="shared" si="0"/>
        <v>0</v>
      </c>
      <c r="D47" s="6">
        <f t="shared" si="1"/>
        <v>3</v>
      </c>
      <c r="E47" s="6">
        <f t="shared" ca="1" si="2"/>
        <v>755</v>
      </c>
      <c r="F47" t="str">
        <v>January</v>
      </c>
      <c r="G47" t="str">
        <f t="shared" si="3"/>
        <v>YES</v>
      </c>
      <c r="H47" t="s">
        <v>8</v>
      </c>
      <c r="I47" t="s">
        <v>18</v>
      </c>
      <c r="J47" t="s">
        <v>22</v>
      </c>
      <c r="K47">
        <v>289028</v>
      </c>
      <c r="L47" t="str">
        <f t="shared" si="4"/>
        <v>YES</v>
      </c>
      <c r="M47">
        <f t="shared" si="5"/>
        <v>1</v>
      </c>
      <c r="N47">
        <v>4</v>
      </c>
      <c r="O47" t="s">
        <v>25</v>
      </c>
    </row>
    <row r="48" spans="1:15" x14ac:dyDescent="0.35">
      <c r="A48">
        <v>10147</v>
      </c>
      <c r="B48" s="5">
        <v>45333</v>
      </c>
      <c r="C48" s="6">
        <f t="shared" si="0"/>
        <v>0</v>
      </c>
      <c r="D48" s="6">
        <f t="shared" si="1"/>
        <v>7</v>
      </c>
      <c r="E48" s="6">
        <f t="shared" ca="1" si="2"/>
        <v>729</v>
      </c>
      <c r="F48" t="str">
        <v>February</v>
      </c>
      <c r="G48" t="str">
        <f t="shared" si="3"/>
        <v>NO</v>
      </c>
      <c r="H48" t="s">
        <v>9</v>
      </c>
      <c r="I48" t="s">
        <v>18</v>
      </c>
      <c r="J48" t="s">
        <v>20</v>
      </c>
      <c r="K48">
        <v>49396</v>
      </c>
      <c r="L48" t="str">
        <f t="shared" si="4"/>
        <v>NO</v>
      </c>
      <c r="M48">
        <f t="shared" si="5"/>
        <v>0</v>
      </c>
      <c r="N48">
        <v>30</v>
      </c>
      <c r="O48" t="s">
        <v>24</v>
      </c>
    </row>
    <row r="49" spans="1:15" x14ac:dyDescent="0.35">
      <c r="A49">
        <v>10148</v>
      </c>
      <c r="B49" s="5">
        <v>45302</v>
      </c>
      <c r="C49" s="6">
        <f t="shared" si="0"/>
        <v>1</v>
      </c>
      <c r="D49" s="6">
        <f t="shared" si="1"/>
        <v>2</v>
      </c>
      <c r="E49" s="6">
        <f t="shared" ca="1" si="2"/>
        <v>760</v>
      </c>
      <c r="F49" t="str">
        <v>January</v>
      </c>
      <c r="G49" t="str">
        <f t="shared" si="3"/>
        <v>YES</v>
      </c>
      <c r="H49" t="s">
        <v>16</v>
      </c>
      <c r="I49" t="s">
        <v>18</v>
      </c>
      <c r="J49" t="s">
        <v>22</v>
      </c>
      <c r="K49">
        <v>252870</v>
      </c>
      <c r="L49" t="str">
        <f t="shared" si="4"/>
        <v>YES</v>
      </c>
      <c r="M49">
        <f t="shared" si="5"/>
        <v>1</v>
      </c>
      <c r="N49">
        <v>7</v>
      </c>
      <c r="O49" t="s">
        <v>27</v>
      </c>
    </row>
    <row r="50" spans="1:15" x14ac:dyDescent="0.35">
      <c r="A50">
        <v>10149</v>
      </c>
      <c r="B50" s="5">
        <v>45349</v>
      </c>
      <c r="C50" s="6">
        <f t="shared" si="0"/>
        <v>0</v>
      </c>
      <c r="D50" s="6">
        <f t="shared" si="1"/>
        <v>9</v>
      </c>
      <c r="E50" s="6">
        <f t="shared" ca="1" si="2"/>
        <v>713</v>
      </c>
      <c r="F50" t="str">
        <v>February</v>
      </c>
      <c r="G50" t="str">
        <f t="shared" si="3"/>
        <v>NO</v>
      </c>
      <c r="H50" t="s">
        <v>15</v>
      </c>
      <c r="I50" t="s">
        <v>18</v>
      </c>
      <c r="J50" t="s">
        <v>21</v>
      </c>
      <c r="K50">
        <v>199191</v>
      </c>
      <c r="L50" t="str">
        <f t="shared" si="4"/>
        <v>YES</v>
      </c>
      <c r="M50">
        <f t="shared" si="5"/>
        <v>1</v>
      </c>
      <c r="N50">
        <v>1</v>
      </c>
      <c r="O50" t="s">
        <v>27</v>
      </c>
    </row>
    <row r="51" spans="1:15" x14ac:dyDescent="0.35">
      <c r="A51">
        <v>10150</v>
      </c>
      <c r="B51" s="5">
        <v>45308</v>
      </c>
      <c r="C51" s="6">
        <f t="shared" si="0"/>
        <v>0</v>
      </c>
      <c r="D51" s="6">
        <f t="shared" si="1"/>
        <v>3</v>
      </c>
      <c r="E51" s="6">
        <f t="shared" ca="1" si="2"/>
        <v>754</v>
      </c>
      <c r="F51" t="str">
        <v>January</v>
      </c>
      <c r="G51" t="str">
        <f t="shared" si="3"/>
        <v>YES</v>
      </c>
      <c r="H51" t="s">
        <v>14</v>
      </c>
      <c r="I51" t="s">
        <v>19</v>
      </c>
      <c r="J51" t="s">
        <v>23</v>
      </c>
      <c r="K51">
        <v>222277</v>
      </c>
      <c r="L51" t="str">
        <f t="shared" si="4"/>
        <v>YES</v>
      </c>
      <c r="M51">
        <f t="shared" si="5"/>
        <v>1</v>
      </c>
      <c r="N51">
        <v>23</v>
      </c>
      <c r="O51" t="s">
        <v>26</v>
      </c>
    </row>
    <row r="52" spans="1:15" x14ac:dyDescent="0.35">
      <c r="A52">
        <v>10151</v>
      </c>
      <c r="B52" s="5">
        <v>45334</v>
      </c>
      <c r="C52" s="6">
        <f t="shared" si="0"/>
        <v>0</v>
      </c>
      <c r="D52" s="6">
        <f t="shared" si="1"/>
        <v>7</v>
      </c>
      <c r="E52" s="6">
        <f t="shared" ca="1" si="2"/>
        <v>728</v>
      </c>
      <c r="F52" t="str">
        <v>February</v>
      </c>
      <c r="G52" t="str">
        <f t="shared" si="3"/>
        <v>NO</v>
      </c>
      <c r="H52" t="s">
        <v>14</v>
      </c>
      <c r="I52" t="s">
        <v>19</v>
      </c>
      <c r="J52" t="s">
        <v>21</v>
      </c>
      <c r="K52">
        <v>100061</v>
      </c>
      <c r="L52" t="str">
        <f t="shared" si="4"/>
        <v>YES</v>
      </c>
      <c r="M52">
        <f t="shared" si="5"/>
        <v>1</v>
      </c>
      <c r="N52">
        <v>10</v>
      </c>
      <c r="O52" t="s">
        <v>24</v>
      </c>
    </row>
    <row r="53" spans="1:15" x14ac:dyDescent="0.35">
      <c r="A53">
        <v>10152</v>
      </c>
      <c r="B53" s="5">
        <v>45295</v>
      </c>
      <c r="C53" s="6">
        <f t="shared" si="0"/>
        <v>1</v>
      </c>
      <c r="D53" s="6">
        <f t="shared" si="1"/>
        <v>1</v>
      </c>
      <c r="E53" s="6">
        <f t="shared" ca="1" si="2"/>
        <v>767</v>
      </c>
      <c r="F53" t="str">
        <v>January</v>
      </c>
      <c r="G53" t="str">
        <f t="shared" si="3"/>
        <v>YES</v>
      </c>
      <c r="H53" t="s">
        <v>13</v>
      </c>
      <c r="I53" t="s">
        <v>19</v>
      </c>
      <c r="J53" t="s">
        <v>20</v>
      </c>
      <c r="K53">
        <v>164919</v>
      </c>
      <c r="L53" t="str">
        <f t="shared" si="4"/>
        <v>YES</v>
      </c>
      <c r="M53">
        <f t="shared" si="5"/>
        <v>1</v>
      </c>
      <c r="N53">
        <v>2</v>
      </c>
      <c r="O53" t="s">
        <v>25</v>
      </c>
    </row>
    <row r="54" spans="1:15" x14ac:dyDescent="0.35">
      <c r="A54">
        <v>10153</v>
      </c>
      <c r="B54" s="5">
        <v>45329</v>
      </c>
      <c r="C54" s="6">
        <f t="shared" si="0"/>
        <v>0</v>
      </c>
      <c r="D54" s="6">
        <f t="shared" si="1"/>
        <v>6</v>
      </c>
      <c r="E54" s="6">
        <f t="shared" ca="1" si="2"/>
        <v>733</v>
      </c>
      <c r="F54" t="str">
        <v>February</v>
      </c>
      <c r="G54" t="str">
        <f t="shared" si="3"/>
        <v>NO</v>
      </c>
      <c r="H54" t="s">
        <v>14</v>
      </c>
      <c r="I54" t="s">
        <v>19</v>
      </c>
      <c r="J54" t="s">
        <v>21</v>
      </c>
      <c r="K54">
        <v>30321</v>
      </c>
      <c r="L54" t="str">
        <f t="shared" si="4"/>
        <v>NO</v>
      </c>
      <c r="M54">
        <f t="shared" si="5"/>
        <v>0</v>
      </c>
      <c r="N54">
        <v>17</v>
      </c>
      <c r="O54" t="s">
        <v>25</v>
      </c>
    </row>
    <row r="55" spans="1:15" x14ac:dyDescent="0.35">
      <c r="A55">
        <v>10154</v>
      </c>
      <c r="B55" s="5">
        <v>45346</v>
      </c>
      <c r="C55" s="6">
        <f t="shared" si="0"/>
        <v>0</v>
      </c>
      <c r="D55" s="6">
        <f t="shared" si="1"/>
        <v>8</v>
      </c>
      <c r="E55" s="6">
        <f t="shared" ca="1" si="2"/>
        <v>716</v>
      </c>
      <c r="F55" t="str">
        <v>February</v>
      </c>
      <c r="G55" t="str">
        <f t="shared" si="3"/>
        <v>NO</v>
      </c>
      <c r="H55" t="s">
        <v>11</v>
      </c>
      <c r="I55" t="s">
        <v>19</v>
      </c>
      <c r="J55" t="s">
        <v>20</v>
      </c>
      <c r="K55">
        <v>312469</v>
      </c>
      <c r="L55" t="str">
        <f t="shared" si="4"/>
        <v>YES</v>
      </c>
      <c r="M55">
        <f t="shared" si="5"/>
        <v>1</v>
      </c>
      <c r="N55">
        <v>3</v>
      </c>
      <c r="O55" t="s">
        <v>24</v>
      </c>
    </row>
    <row r="56" spans="1:15" x14ac:dyDescent="0.35">
      <c r="A56">
        <v>10155</v>
      </c>
      <c r="B56" s="5">
        <v>45317</v>
      </c>
      <c r="C56" s="6">
        <f t="shared" si="0"/>
        <v>0</v>
      </c>
      <c r="D56" s="6">
        <f t="shared" si="1"/>
        <v>4</v>
      </c>
      <c r="E56" s="6">
        <f t="shared" ca="1" si="2"/>
        <v>745</v>
      </c>
      <c r="F56" t="str">
        <v>January</v>
      </c>
      <c r="G56" t="str">
        <f t="shared" si="3"/>
        <v>YES</v>
      </c>
      <c r="H56" t="s">
        <v>8</v>
      </c>
      <c r="I56" t="s">
        <v>18</v>
      </c>
      <c r="J56" t="s">
        <v>21</v>
      </c>
      <c r="K56">
        <v>304020</v>
      </c>
      <c r="L56" t="str">
        <f t="shared" si="4"/>
        <v>YES</v>
      </c>
      <c r="M56">
        <f t="shared" si="5"/>
        <v>1</v>
      </c>
      <c r="N56">
        <v>20</v>
      </c>
      <c r="O56" t="s">
        <v>25</v>
      </c>
    </row>
    <row r="57" spans="1:15" x14ac:dyDescent="0.35">
      <c r="A57">
        <v>10156</v>
      </c>
      <c r="B57" s="5">
        <v>45331</v>
      </c>
      <c r="C57" s="6">
        <f t="shared" si="0"/>
        <v>0</v>
      </c>
      <c r="D57" s="6">
        <f t="shared" si="1"/>
        <v>6</v>
      </c>
      <c r="E57" s="6">
        <f t="shared" ca="1" si="2"/>
        <v>731</v>
      </c>
      <c r="F57" t="str">
        <v>February</v>
      </c>
      <c r="G57" t="str">
        <f t="shared" si="3"/>
        <v>NO</v>
      </c>
      <c r="H57" t="s">
        <v>8</v>
      </c>
      <c r="I57" t="s">
        <v>18</v>
      </c>
      <c r="J57" t="s">
        <v>22</v>
      </c>
      <c r="K57">
        <v>345152</v>
      </c>
      <c r="L57" t="str">
        <f t="shared" si="4"/>
        <v>YES</v>
      </c>
      <c r="M57">
        <f t="shared" si="5"/>
        <v>1</v>
      </c>
      <c r="N57">
        <v>19</v>
      </c>
      <c r="O57" t="s">
        <v>26</v>
      </c>
    </row>
    <row r="58" spans="1:15" x14ac:dyDescent="0.35">
      <c r="A58">
        <v>10157</v>
      </c>
      <c r="B58" s="5">
        <v>45325</v>
      </c>
      <c r="C58" s="6">
        <f t="shared" si="0"/>
        <v>0</v>
      </c>
      <c r="D58" s="6">
        <f t="shared" si="1"/>
        <v>5</v>
      </c>
      <c r="E58" s="6">
        <f t="shared" ca="1" si="2"/>
        <v>737</v>
      </c>
      <c r="F58" t="str">
        <v>February</v>
      </c>
      <c r="G58" t="str">
        <f t="shared" si="3"/>
        <v>NO</v>
      </c>
      <c r="H58" t="s">
        <v>12</v>
      </c>
      <c r="I58" t="s">
        <v>19</v>
      </c>
      <c r="J58" t="s">
        <v>23</v>
      </c>
      <c r="K58">
        <v>107590</v>
      </c>
      <c r="L58" t="str">
        <f t="shared" si="4"/>
        <v>YES</v>
      </c>
      <c r="M58">
        <f t="shared" si="5"/>
        <v>1</v>
      </c>
      <c r="N58">
        <v>22</v>
      </c>
      <c r="O58" t="s">
        <v>28</v>
      </c>
    </row>
    <row r="59" spans="1:15" x14ac:dyDescent="0.35">
      <c r="A59">
        <v>10158</v>
      </c>
      <c r="B59" s="5">
        <v>45307</v>
      </c>
      <c r="C59" s="6">
        <f t="shared" si="0"/>
        <v>0</v>
      </c>
      <c r="D59" s="6">
        <f t="shared" si="1"/>
        <v>3</v>
      </c>
      <c r="E59" s="6">
        <f t="shared" ca="1" si="2"/>
        <v>755</v>
      </c>
      <c r="F59" t="str">
        <v>January</v>
      </c>
      <c r="G59" t="str">
        <f t="shared" si="3"/>
        <v>YES</v>
      </c>
      <c r="H59" t="s">
        <v>17</v>
      </c>
      <c r="I59" t="s">
        <v>18</v>
      </c>
      <c r="J59" t="s">
        <v>22</v>
      </c>
      <c r="K59">
        <v>69117</v>
      </c>
      <c r="L59" t="str">
        <f t="shared" si="4"/>
        <v>NO</v>
      </c>
      <c r="M59">
        <f t="shared" si="5"/>
        <v>1</v>
      </c>
      <c r="N59">
        <v>22</v>
      </c>
      <c r="O59" t="s">
        <v>28</v>
      </c>
    </row>
    <row r="60" spans="1:15" x14ac:dyDescent="0.35">
      <c r="A60">
        <v>10159</v>
      </c>
      <c r="B60" s="5">
        <v>45321</v>
      </c>
      <c r="C60" s="6">
        <f t="shared" si="0"/>
        <v>0</v>
      </c>
      <c r="D60" s="6">
        <f t="shared" si="1"/>
        <v>5</v>
      </c>
      <c r="E60" s="6">
        <f t="shared" ca="1" si="2"/>
        <v>741</v>
      </c>
      <c r="F60" t="str">
        <v>January</v>
      </c>
      <c r="G60" t="str">
        <f t="shared" si="3"/>
        <v>YES</v>
      </c>
      <c r="H60" t="s">
        <v>12</v>
      </c>
      <c r="I60" t="s">
        <v>19</v>
      </c>
      <c r="J60" t="s">
        <v>20</v>
      </c>
      <c r="K60">
        <v>5383</v>
      </c>
      <c r="L60" t="str">
        <f t="shared" si="4"/>
        <v>NO</v>
      </c>
      <c r="M60">
        <f t="shared" si="5"/>
        <v>0</v>
      </c>
      <c r="N60">
        <v>15</v>
      </c>
      <c r="O60" t="s">
        <v>26</v>
      </c>
    </row>
    <row r="61" spans="1:15" x14ac:dyDescent="0.35">
      <c r="A61">
        <v>10160</v>
      </c>
      <c r="B61" s="5">
        <v>45328</v>
      </c>
      <c r="C61" s="6">
        <f t="shared" si="0"/>
        <v>0</v>
      </c>
      <c r="D61" s="6">
        <f t="shared" si="1"/>
        <v>6</v>
      </c>
      <c r="E61" s="6">
        <f t="shared" ca="1" si="2"/>
        <v>734</v>
      </c>
      <c r="F61" t="str">
        <v>February</v>
      </c>
      <c r="G61" t="str">
        <f t="shared" si="3"/>
        <v>NO</v>
      </c>
      <c r="H61" t="s">
        <v>8</v>
      </c>
      <c r="I61" t="s">
        <v>18</v>
      </c>
      <c r="J61" t="s">
        <v>20</v>
      </c>
      <c r="K61">
        <v>282375</v>
      </c>
      <c r="L61" t="str">
        <f t="shared" si="4"/>
        <v>YES</v>
      </c>
      <c r="M61">
        <f t="shared" si="5"/>
        <v>1</v>
      </c>
      <c r="N61">
        <v>7</v>
      </c>
      <c r="O61" t="s">
        <v>26</v>
      </c>
    </row>
    <row r="62" spans="1:15" x14ac:dyDescent="0.35">
      <c r="A62">
        <v>10161</v>
      </c>
      <c r="B62" s="5">
        <v>45308</v>
      </c>
      <c r="C62" s="6">
        <f t="shared" si="0"/>
        <v>0</v>
      </c>
      <c r="D62" s="6">
        <f t="shared" si="1"/>
        <v>3</v>
      </c>
      <c r="E62" s="6">
        <f t="shared" ca="1" si="2"/>
        <v>754</v>
      </c>
      <c r="F62" t="str">
        <v>January</v>
      </c>
      <c r="G62" t="str">
        <f t="shared" si="3"/>
        <v>YES</v>
      </c>
      <c r="H62" t="s">
        <v>11</v>
      </c>
      <c r="I62" t="s">
        <v>19</v>
      </c>
      <c r="J62" t="s">
        <v>23</v>
      </c>
      <c r="K62">
        <v>36566</v>
      </c>
      <c r="L62" t="str">
        <f t="shared" si="4"/>
        <v>NO</v>
      </c>
      <c r="M62">
        <f t="shared" si="5"/>
        <v>0</v>
      </c>
      <c r="N62">
        <v>29</v>
      </c>
      <c r="O62" t="s">
        <v>24</v>
      </c>
    </row>
    <row r="63" spans="1:15" x14ac:dyDescent="0.35">
      <c r="A63">
        <v>10162</v>
      </c>
      <c r="B63" s="5">
        <v>45315</v>
      </c>
      <c r="C63" s="6">
        <f t="shared" si="0"/>
        <v>0</v>
      </c>
      <c r="D63" s="6">
        <f t="shared" si="1"/>
        <v>4</v>
      </c>
      <c r="E63" s="6">
        <f t="shared" ca="1" si="2"/>
        <v>747</v>
      </c>
      <c r="F63" t="str">
        <v>January</v>
      </c>
      <c r="G63" t="str">
        <f t="shared" si="3"/>
        <v>YES</v>
      </c>
      <c r="H63" t="s">
        <v>17</v>
      </c>
      <c r="I63" t="s">
        <v>18</v>
      </c>
      <c r="J63" t="s">
        <v>21</v>
      </c>
      <c r="K63">
        <v>230234</v>
      </c>
      <c r="L63" t="str">
        <f t="shared" si="4"/>
        <v>YES</v>
      </c>
      <c r="M63">
        <f t="shared" si="5"/>
        <v>1</v>
      </c>
      <c r="N63">
        <v>27</v>
      </c>
      <c r="O63" t="s">
        <v>26</v>
      </c>
    </row>
    <row r="64" spans="1:15" x14ac:dyDescent="0.35">
      <c r="A64">
        <v>10163</v>
      </c>
      <c r="B64" s="5">
        <v>45337</v>
      </c>
      <c r="C64" s="6">
        <f t="shared" si="0"/>
        <v>0</v>
      </c>
      <c r="D64" s="6">
        <f t="shared" si="1"/>
        <v>7</v>
      </c>
      <c r="E64" s="6">
        <f t="shared" ca="1" si="2"/>
        <v>725</v>
      </c>
      <c r="F64" t="str">
        <v>February</v>
      </c>
      <c r="G64" t="str">
        <f t="shared" si="3"/>
        <v>NO</v>
      </c>
      <c r="H64" t="s">
        <v>17</v>
      </c>
      <c r="I64" t="s">
        <v>18</v>
      </c>
      <c r="J64" t="s">
        <v>20</v>
      </c>
      <c r="K64">
        <v>291271</v>
      </c>
      <c r="L64" t="str">
        <f t="shared" si="4"/>
        <v>YES</v>
      </c>
      <c r="M64">
        <f t="shared" si="5"/>
        <v>1</v>
      </c>
      <c r="N64">
        <v>10</v>
      </c>
      <c r="O64" t="s">
        <v>25</v>
      </c>
    </row>
    <row r="65" spans="1:15" x14ac:dyDescent="0.35">
      <c r="A65">
        <v>10164</v>
      </c>
      <c r="B65" s="5">
        <v>45352</v>
      </c>
      <c r="C65" s="6">
        <f t="shared" si="0"/>
        <v>0</v>
      </c>
      <c r="D65" s="6">
        <f t="shared" si="1"/>
        <v>9</v>
      </c>
      <c r="E65" s="6">
        <f t="shared" ca="1" si="2"/>
        <v>710</v>
      </c>
      <c r="F65" t="str">
        <v>March</v>
      </c>
      <c r="G65" t="str">
        <f t="shared" si="3"/>
        <v>NO</v>
      </c>
      <c r="H65" t="s">
        <v>11</v>
      </c>
      <c r="I65" t="s">
        <v>19</v>
      </c>
      <c r="J65" t="s">
        <v>23</v>
      </c>
      <c r="K65">
        <v>61017</v>
      </c>
      <c r="L65" t="str">
        <f t="shared" si="4"/>
        <v>NO</v>
      </c>
      <c r="M65">
        <f t="shared" si="5"/>
        <v>1</v>
      </c>
      <c r="N65">
        <v>29</v>
      </c>
      <c r="O65" t="s">
        <v>25</v>
      </c>
    </row>
    <row r="66" spans="1:15" x14ac:dyDescent="0.35">
      <c r="A66">
        <v>10165</v>
      </c>
      <c r="B66" s="5">
        <v>45339</v>
      </c>
      <c r="C66" s="6">
        <f t="shared" si="0"/>
        <v>0</v>
      </c>
      <c r="D66" s="6">
        <f t="shared" si="1"/>
        <v>7</v>
      </c>
      <c r="E66" s="6">
        <f t="shared" ca="1" si="2"/>
        <v>723</v>
      </c>
      <c r="F66" t="str">
        <v>February</v>
      </c>
      <c r="G66" t="str">
        <f t="shared" si="3"/>
        <v>NO</v>
      </c>
      <c r="H66" t="s">
        <v>9</v>
      </c>
      <c r="I66" t="s">
        <v>18</v>
      </c>
      <c r="J66" t="s">
        <v>21</v>
      </c>
      <c r="K66">
        <v>143288</v>
      </c>
      <c r="L66" t="str">
        <f t="shared" si="4"/>
        <v>YES</v>
      </c>
      <c r="M66">
        <f t="shared" si="5"/>
        <v>1</v>
      </c>
      <c r="N66">
        <v>10</v>
      </c>
      <c r="O66" t="s">
        <v>26</v>
      </c>
    </row>
    <row r="67" spans="1:15" x14ac:dyDescent="0.35">
      <c r="A67">
        <v>10166</v>
      </c>
      <c r="B67" s="5">
        <v>45305</v>
      </c>
      <c r="C67" s="6">
        <f t="shared" ref="C67:C101" si="6">IF(B67&lt;DATE(2024,1,15),1,0)</f>
        <v>1</v>
      </c>
      <c r="D67" s="6">
        <f t="shared" ref="D67:D101" si="7">WEEKNUM(B67)</f>
        <v>3</v>
      </c>
      <c r="E67" s="6">
        <f t="shared" ref="E67:E101" ca="1" si="8">TODAY()-B67</f>
        <v>757</v>
      </c>
      <c r="F67" t="str">
        <v>January</v>
      </c>
      <c r="G67" t="str">
        <f t="shared" ref="G67:G101" si="9">IF(F67="january","YES","NO")</f>
        <v>YES</v>
      </c>
      <c r="H67" t="s">
        <v>12</v>
      </c>
      <c r="I67" t="s">
        <v>19</v>
      </c>
      <c r="J67" t="s">
        <v>21</v>
      </c>
      <c r="K67">
        <v>333023</v>
      </c>
      <c r="L67" t="str">
        <f t="shared" ref="L67:L101" si="10">IF(K67&gt;100000,"YES","NO")</f>
        <v>YES</v>
      </c>
      <c r="M67">
        <f t="shared" ref="M67:M101" si="11">IF(K67&gt;50000,1,0)</f>
        <v>1</v>
      </c>
      <c r="N67">
        <v>28</v>
      </c>
      <c r="O67" t="s">
        <v>28</v>
      </c>
    </row>
    <row r="68" spans="1:15" x14ac:dyDescent="0.35">
      <c r="A68">
        <v>10167</v>
      </c>
      <c r="B68" s="5">
        <v>45324</v>
      </c>
      <c r="C68" s="6">
        <f t="shared" si="6"/>
        <v>0</v>
      </c>
      <c r="D68" s="6">
        <f t="shared" si="7"/>
        <v>5</v>
      </c>
      <c r="E68" s="6">
        <f t="shared" ca="1" si="8"/>
        <v>738</v>
      </c>
      <c r="F68" t="str">
        <v>February</v>
      </c>
      <c r="G68" t="str">
        <f t="shared" si="9"/>
        <v>NO</v>
      </c>
      <c r="H68" t="s">
        <v>14</v>
      </c>
      <c r="I68" t="s">
        <v>19</v>
      </c>
      <c r="J68" t="s">
        <v>23</v>
      </c>
      <c r="K68">
        <v>27133</v>
      </c>
      <c r="L68" t="str">
        <f t="shared" si="10"/>
        <v>NO</v>
      </c>
      <c r="M68">
        <f t="shared" si="11"/>
        <v>0</v>
      </c>
      <c r="N68">
        <v>3</v>
      </c>
      <c r="O68" t="s">
        <v>27</v>
      </c>
    </row>
    <row r="69" spans="1:15" x14ac:dyDescent="0.35">
      <c r="A69">
        <v>10168</v>
      </c>
      <c r="B69" s="5">
        <v>45345</v>
      </c>
      <c r="C69" s="6">
        <f t="shared" si="6"/>
        <v>0</v>
      </c>
      <c r="D69" s="6">
        <f t="shared" si="7"/>
        <v>8</v>
      </c>
      <c r="E69" s="6">
        <f t="shared" ca="1" si="8"/>
        <v>717</v>
      </c>
      <c r="F69" t="str">
        <v>February</v>
      </c>
      <c r="G69" t="str">
        <f t="shared" si="9"/>
        <v>NO</v>
      </c>
      <c r="H69" t="s">
        <v>17</v>
      </c>
      <c r="I69" t="s">
        <v>18</v>
      </c>
      <c r="J69" t="s">
        <v>20</v>
      </c>
      <c r="K69">
        <v>2358</v>
      </c>
      <c r="L69" t="str">
        <f t="shared" si="10"/>
        <v>NO</v>
      </c>
      <c r="M69">
        <f t="shared" si="11"/>
        <v>0</v>
      </c>
      <c r="N69">
        <v>11</v>
      </c>
      <c r="O69" t="s">
        <v>24</v>
      </c>
    </row>
    <row r="70" spans="1:15" x14ac:dyDescent="0.35">
      <c r="A70">
        <v>10169</v>
      </c>
      <c r="B70" s="5">
        <v>45332</v>
      </c>
      <c r="C70" s="6">
        <f t="shared" si="6"/>
        <v>0</v>
      </c>
      <c r="D70" s="6">
        <f t="shared" si="7"/>
        <v>6</v>
      </c>
      <c r="E70" s="6">
        <f t="shared" ca="1" si="8"/>
        <v>730</v>
      </c>
      <c r="F70" t="str">
        <v>February</v>
      </c>
      <c r="G70" t="str">
        <f t="shared" si="9"/>
        <v>NO</v>
      </c>
      <c r="H70" t="s">
        <v>17</v>
      </c>
      <c r="I70" t="s">
        <v>18</v>
      </c>
      <c r="J70" t="s">
        <v>21</v>
      </c>
      <c r="K70">
        <v>232149</v>
      </c>
      <c r="L70" t="str">
        <f t="shared" si="10"/>
        <v>YES</v>
      </c>
      <c r="M70">
        <f t="shared" si="11"/>
        <v>1</v>
      </c>
      <c r="N70">
        <v>18</v>
      </c>
      <c r="O70" t="s">
        <v>27</v>
      </c>
    </row>
    <row r="71" spans="1:15" x14ac:dyDescent="0.35">
      <c r="A71">
        <v>10170</v>
      </c>
      <c r="B71" s="5">
        <v>45327</v>
      </c>
      <c r="C71" s="6">
        <f t="shared" si="6"/>
        <v>0</v>
      </c>
      <c r="D71" s="6">
        <f t="shared" si="7"/>
        <v>6</v>
      </c>
      <c r="E71" s="6">
        <f t="shared" ca="1" si="8"/>
        <v>735</v>
      </c>
      <c r="F71" t="str">
        <v>February</v>
      </c>
      <c r="G71" t="str">
        <f t="shared" si="9"/>
        <v>NO</v>
      </c>
      <c r="H71" t="s">
        <v>15</v>
      </c>
      <c r="I71" t="s">
        <v>18</v>
      </c>
      <c r="J71" t="s">
        <v>20</v>
      </c>
      <c r="K71">
        <v>39949</v>
      </c>
      <c r="L71" t="str">
        <f t="shared" si="10"/>
        <v>NO</v>
      </c>
      <c r="M71">
        <f t="shared" si="11"/>
        <v>0</v>
      </c>
      <c r="N71">
        <v>29</v>
      </c>
      <c r="O71" t="s">
        <v>24</v>
      </c>
    </row>
    <row r="72" spans="1:15" x14ac:dyDescent="0.35">
      <c r="A72">
        <v>10171</v>
      </c>
      <c r="B72" s="5">
        <v>45326</v>
      </c>
      <c r="C72" s="6">
        <f t="shared" si="6"/>
        <v>0</v>
      </c>
      <c r="D72" s="6">
        <f t="shared" si="7"/>
        <v>6</v>
      </c>
      <c r="E72" s="6">
        <f t="shared" ca="1" si="8"/>
        <v>736</v>
      </c>
      <c r="F72" t="str">
        <v>February</v>
      </c>
      <c r="G72" t="str">
        <f t="shared" si="9"/>
        <v>NO</v>
      </c>
      <c r="H72" t="s">
        <v>15</v>
      </c>
      <c r="I72" t="s">
        <v>18</v>
      </c>
      <c r="J72" t="s">
        <v>23</v>
      </c>
      <c r="K72">
        <v>305902</v>
      </c>
      <c r="L72" t="str">
        <f t="shared" si="10"/>
        <v>YES</v>
      </c>
      <c r="M72">
        <f t="shared" si="11"/>
        <v>1</v>
      </c>
      <c r="N72">
        <v>18</v>
      </c>
      <c r="O72" t="s">
        <v>24</v>
      </c>
    </row>
    <row r="73" spans="1:15" x14ac:dyDescent="0.35">
      <c r="A73">
        <v>10172</v>
      </c>
      <c r="B73" s="5">
        <v>45319</v>
      </c>
      <c r="C73" s="6">
        <f t="shared" si="6"/>
        <v>0</v>
      </c>
      <c r="D73" s="6">
        <f t="shared" si="7"/>
        <v>5</v>
      </c>
      <c r="E73" s="6">
        <f t="shared" ca="1" si="8"/>
        <v>743</v>
      </c>
      <c r="F73" t="str">
        <v>January</v>
      </c>
      <c r="G73" t="str">
        <f t="shared" si="9"/>
        <v>YES</v>
      </c>
      <c r="H73" t="s">
        <v>11</v>
      </c>
      <c r="I73" t="s">
        <v>19</v>
      </c>
      <c r="J73" t="s">
        <v>20</v>
      </c>
      <c r="K73">
        <v>162116</v>
      </c>
      <c r="L73" t="str">
        <f t="shared" si="10"/>
        <v>YES</v>
      </c>
      <c r="M73">
        <f t="shared" si="11"/>
        <v>1</v>
      </c>
      <c r="N73">
        <v>12</v>
      </c>
      <c r="O73" t="s">
        <v>25</v>
      </c>
    </row>
    <row r="74" spans="1:15" x14ac:dyDescent="0.35">
      <c r="A74">
        <v>10173</v>
      </c>
      <c r="B74" s="5">
        <v>45349</v>
      </c>
      <c r="C74" s="6">
        <f t="shared" si="6"/>
        <v>0</v>
      </c>
      <c r="D74" s="6">
        <f t="shared" si="7"/>
        <v>9</v>
      </c>
      <c r="E74" s="6">
        <f t="shared" ca="1" si="8"/>
        <v>713</v>
      </c>
      <c r="F74" t="str">
        <v>February</v>
      </c>
      <c r="G74" t="str">
        <f t="shared" si="9"/>
        <v>NO</v>
      </c>
      <c r="H74" t="s">
        <v>12</v>
      </c>
      <c r="I74" t="s">
        <v>19</v>
      </c>
      <c r="J74" t="s">
        <v>21</v>
      </c>
      <c r="K74">
        <v>131325</v>
      </c>
      <c r="L74" t="str">
        <f t="shared" si="10"/>
        <v>YES</v>
      </c>
      <c r="M74">
        <f t="shared" si="11"/>
        <v>1</v>
      </c>
      <c r="N74">
        <v>22</v>
      </c>
      <c r="O74" t="s">
        <v>25</v>
      </c>
    </row>
    <row r="75" spans="1:15" x14ac:dyDescent="0.35">
      <c r="A75">
        <v>10174</v>
      </c>
      <c r="B75" s="5">
        <v>45314</v>
      </c>
      <c r="C75" s="6">
        <f t="shared" si="6"/>
        <v>0</v>
      </c>
      <c r="D75" s="6">
        <f t="shared" si="7"/>
        <v>4</v>
      </c>
      <c r="E75" s="6">
        <f t="shared" ca="1" si="8"/>
        <v>748</v>
      </c>
      <c r="F75" t="str">
        <v>January</v>
      </c>
      <c r="G75" t="str">
        <f t="shared" si="9"/>
        <v>YES</v>
      </c>
      <c r="H75" t="s">
        <v>9</v>
      </c>
      <c r="I75" t="s">
        <v>18</v>
      </c>
      <c r="J75" t="s">
        <v>22</v>
      </c>
      <c r="K75">
        <v>325905</v>
      </c>
      <c r="L75" t="str">
        <f t="shared" si="10"/>
        <v>YES</v>
      </c>
      <c r="M75">
        <f t="shared" si="11"/>
        <v>1</v>
      </c>
      <c r="N75">
        <v>24</v>
      </c>
      <c r="O75" t="s">
        <v>24</v>
      </c>
    </row>
    <row r="76" spans="1:15" x14ac:dyDescent="0.35">
      <c r="A76">
        <v>10175</v>
      </c>
      <c r="B76" s="5">
        <v>45351</v>
      </c>
      <c r="C76" s="6">
        <f t="shared" si="6"/>
        <v>0</v>
      </c>
      <c r="D76" s="6">
        <f t="shared" si="7"/>
        <v>9</v>
      </c>
      <c r="E76" s="6">
        <f t="shared" ca="1" si="8"/>
        <v>711</v>
      </c>
      <c r="F76" t="str">
        <v>February</v>
      </c>
      <c r="G76" t="str">
        <f t="shared" si="9"/>
        <v>NO</v>
      </c>
      <c r="H76" t="s">
        <v>10</v>
      </c>
      <c r="I76" t="s">
        <v>19</v>
      </c>
      <c r="J76" t="s">
        <v>21</v>
      </c>
      <c r="K76">
        <v>93326</v>
      </c>
      <c r="L76" t="str">
        <f t="shared" si="10"/>
        <v>NO</v>
      </c>
      <c r="M76">
        <f t="shared" si="11"/>
        <v>1</v>
      </c>
      <c r="N76">
        <v>29</v>
      </c>
      <c r="O76" t="s">
        <v>27</v>
      </c>
    </row>
    <row r="77" spans="1:15" x14ac:dyDescent="0.35">
      <c r="A77">
        <v>10176</v>
      </c>
      <c r="B77" s="5">
        <v>45293</v>
      </c>
      <c r="C77" s="6">
        <f t="shared" si="6"/>
        <v>1</v>
      </c>
      <c r="D77" s="6">
        <f t="shared" si="7"/>
        <v>1</v>
      </c>
      <c r="E77" s="6">
        <f t="shared" ca="1" si="8"/>
        <v>769</v>
      </c>
      <c r="F77" t="str">
        <v>January</v>
      </c>
      <c r="G77" t="str">
        <f t="shared" si="9"/>
        <v>YES</v>
      </c>
      <c r="H77" t="s">
        <v>11</v>
      </c>
      <c r="I77" t="s">
        <v>19</v>
      </c>
      <c r="J77" t="s">
        <v>23</v>
      </c>
      <c r="K77">
        <v>216356</v>
      </c>
      <c r="L77" t="str">
        <f t="shared" si="10"/>
        <v>YES</v>
      </c>
      <c r="M77">
        <f t="shared" si="11"/>
        <v>1</v>
      </c>
      <c r="N77">
        <v>26</v>
      </c>
      <c r="O77" t="s">
        <v>24</v>
      </c>
    </row>
    <row r="78" spans="1:15" x14ac:dyDescent="0.35">
      <c r="A78">
        <v>10177</v>
      </c>
      <c r="B78" s="5">
        <v>45309</v>
      </c>
      <c r="C78" s="6">
        <f t="shared" si="6"/>
        <v>0</v>
      </c>
      <c r="D78" s="6">
        <f t="shared" si="7"/>
        <v>3</v>
      </c>
      <c r="E78" s="6">
        <f t="shared" ca="1" si="8"/>
        <v>753</v>
      </c>
      <c r="F78" t="str">
        <v>January</v>
      </c>
      <c r="G78" t="str">
        <f t="shared" si="9"/>
        <v>YES</v>
      </c>
      <c r="H78" t="s">
        <v>11</v>
      </c>
      <c r="I78" t="s">
        <v>19</v>
      </c>
      <c r="J78" t="s">
        <v>20</v>
      </c>
      <c r="K78">
        <v>201062</v>
      </c>
      <c r="L78" t="str">
        <f t="shared" si="10"/>
        <v>YES</v>
      </c>
      <c r="M78">
        <f t="shared" si="11"/>
        <v>1</v>
      </c>
      <c r="N78">
        <v>28</v>
      </c>
      <c r="O78" t="s">
        <v>25</v>
      </c>
    </row>
    <row r="79" spans="1:15" x14ac:dyDescent="0.35">
      <c r="A79">
        <v>10178</v>
      </c>
      <c r="B79" s="5">
        <v>45346</v>
      </c>
      <c r="C79" s="6">
        <f t="shared" si="6"/>
        <v>0</v>
      </c>
      <c r="D79" s="6">
        <f t="shared" si="7"/>
        <v>8</v>
      </c>
      <c r="E79" s="6">
        <f t="shared" ca="1" si="8"/>
        <v>716</v>
      </c>
      <c r="F79" t="str">
        <v>February</v>
      </c>
      <c r="G79" t="str">
        <f t="shared" si="9"/>
        <v>NO</v>
      </c>
      <c r="H79" t="s">
        <v>14</v>
      </c>
      <c r="I79" t="s">
        <v>19</v>
      </c>
      <c r="J79" t="s">
        <v>21</v>
      </c>
      <c r="K79">
        <v>105133</v>
      </c>
      <c r="L79" t="str">
        <f t="shared" si="10"/>
        <v>YES</v>
      </c>
      <c r="M79">
        <f t="shared" si="11"/>
        <v>1</v>
      </c>
      <c r="N79">
        <v>27</v>
      </c>
      <c r="O79" t="s">
        <v>27</v>
      </c>
    </row>
    <row r="80" spans="1:15" x14ac:dyDescent="0.35">
      <c r="A80">
        <v>10179</v>
      </c>
      <c r="B80" s="5">
        <v>45314</v>
      </c>
      <c r="C80" s="6">
        <f t="shared" si="6"/>
        <v>0</v>
      </c>
      <c r="D80" s="6">
        <f t="shared" si="7"/>
        <v>4</v>
      </c>
      <c r="E80" s="6">
        <f t="shared" ca="1" si="8"/>
        <v>748</v>
      </c>
      <c r="F80" t="str">
        <v>January</v>
      </c>
      <c r="G80" t="str">
        <f t="shared" si="9"/>
        <v>YES</v>
      </c>
      <c r="H80" t="s">
        <v>17</v>
      </c>
      <c r="I80" t="s">
        <v>18</v>
      </c>
      <c r="J80" t="s">
        <v>21</v>
      </c>
      <c r="K80">
        <v>117376</v>
      </c>
      <c r="L80" t="str">
        <f t="shared" si="10"/>
        <v>YES</v>
      </c>
      <c r="M80">
        <f t="shared" si="11"/>
        <v>1</v>
      </c>
      <c r="N80">
        <v>1</v>
      </c>
      <c r="O80" t="s">
        <v>24</v>
      </c>
    </row>
    <row r="81" spans="1:15" x14ac:dyDescent="0.35">
      <c r="A81">
        <v>10180</v>
      </c>
      <c r="B81" s="5">
        <v>45317</v>
      </c>
      <c r="C81" s="6">
        <f t="shared" si="6"/>
        <v>0</v>
      </c>
      <c r="D81" s="6">
        <f t="shared" si="7"/>
        <v>4</v>
      </c>
      <c r="E81" s="6">
        <f t="shared" ca="1" si="8"/>
        <v>745</v>
      </c>
      <c r="F81" t="str">
        <v>January</v>
      </c>
      <c r="G81" t="str">
        <f t="shared" si="9"/>
        <v>YES</v>
      </c>
      <c r="H81" t="s">
        <v>12</v>
      </c>
      <c r="I81" t="s">
        <v>19</v>
      </c>
      <c r="J81" t="s">
        <v>23</v>
      </c>
      <c r="K81">
        <v>36896</v>
      </c>
      <c r="L81" t="str">
        <f t="shared" si="10"/>
        <v>NO</v>
      </c>
      <c r="M81">
        <f t="shared" si="11"/>
        <v>0</v>
      </c>
      <c r="N81">
        <v>25</v>
      </c>
      <c r="O81" t="s">
        <v>28</v>
      </c>
    </row>
    <row r="82" spans="1:15" x14ac:dyDescent="0.35">
      <c r="A82">
        <v>10181</v>
      </c>
      <c r="B82" s="5">
        <v>45314</v>
      </c>
      <c r="C82" s="6">
        <f t="shared" si="6"/>
        <v>0</v>
      </c>
      <c r="D82" s="6">
        <f t="shared" si="7"/>
        <v>4</v>
      </c>
      <c r="E82" s="6">
        <f t="shared" ca="1" si="8"/>
        <v>748</v>
      </c>
      <c r="F82" t="str">
        <v>January</v>
      </c>
      <c r="G82" t="str">
        <f t="shared" si="9"/>
        <v>YES</v>
      </c>
      <c r="H82" t="s">
        <v>9</v>
      </c>
      <c r="I82" t="s">
        <v>18</v>
      </c>
      <c r="J82" t="s">
        <v>22</v>
      </c>
      <c r="K82">
        <v>281631</v>
      </c>
      <c r="L82" t="str">
        <f t="shared" si="10"/>
        <v>YES</v>
      </c>
      <c r="M82">
        <f t="shared" si="11"/>
        <v>1</v>
      </c>
      <c r="N82">
        <v>11</v>
      </c>
      <c r="O82" t="s">
        <v>25</v>
      </c>
    </row>
    <row r="83" spans="1:15" x14ac:dyDescent="0.35">
      <c r="A83">
        <v>10182</v>
      </c>
      <c r="B83" s="5">
        <v>45299</v>
      </c>
      <c r="C83" s="6">
        <f t="shared" si="6"/>
        <v>1</v>
      </c>
      <c r="D83" s="6">
        <f t="shared" si="7"/>
        <v>2</v>
      </c>
      <c r="E83" s="6">
        <f t="shared" ca="1" si="8"/>
        <v>763</v>
      </c>
      <c r="F83" t="str">
        <v>January</v>
      </c>
      <c r="G83" t="str">
        <f t="shared" si="9"/>
        <v>YES</v>
      </c>
      <c r="H83" t="s">
        <v>17</v>
      </c>
      <c r="I83" t="s">
        <v>18</v>
      </c>
      <c r="J83" t="s">
        <v>21</v>
      </c>
      <c r="K83">
        <v>304896</v>
      </c>
      <c r="L83" t="str">
        <f t="shared" si="10"/>
        <v>YES</v>
      </c>
      <c r="M83">
        <f t="shared" si="11"/>
        <v>1</v>
      </c>
      <c r="N83">
        <v>9</v>
      </c>
      <c r="O83" t="s">
        <v>25</v>
      </c>
    </row>
    <row r="84" spans="1:15" x14ac:dyDescent="0.35">
      <c r="A84">
        <v>10183</v>
      </c>
      <c r="B84" s="5">
        <v>45298</v>
      </c>
      <c r="C84" s="6">
        <f t="shared" si="6"/>
        <v>1</v>
      </c>
      <c r="D84" s="6">
        <f t="shared" si="7"/>
        <v>2</v>
      </c>
      <c r="E84" s="6">
        <f t="shared" ca="1" si="8"/>
        <v>764</v>
      </c>
      <c r="F84" t="str">
        <v>January</v>
      </c>
      <c r="G84" t="str">
        <f t="shared" si="9"/>
        <v>YES</v>
      </c>
      <c r="H84" t="s">
        <v>13</v>
      </c>
      <c r="I84" t="s">
        <v>19</v>
      </c>
      <c r="J84" t="s">
        <v>22</v>
      </c>
      <c r="K84">
        <v>181739</v>
      </c>
      <c r="L84" t="str">
        <f t="shared" si="10"/>
        <v>YES</v>
      </c>
      <c r="M84">
        <f t="shared" si="11"/>
        <v>1</v>
      </c>
      <c r="N84">
        <v>24</v>
      </c>
      <c r="O84" t="s">
        <v>28</v>
      </c>
    </row>
    <row r="85" spans="1:15" x14ac:dyDescent="0.35">
      <c r="A85">
        <v>10184</v>
      </c>
      <c r="B85" s="5">
        <v>45319</v>
      </c>
      <c r="C85" s="6">
        <f t="shared" si="6"/>
        <v>0</v>
      </c>
      <c r="D85" s="6">
        <f t="shared" si="7"/>
        <v>5</v>
      </c>
      <c r="E85" s="6">
        <f t="shared" ca="1" si="8"/>
        <v>743</v>
      </c>
      <c r="F85" t="str">
        <v>January</v>
      </c>
      <c r="G85" t="str">
        <f t="shared" si="9"/>
        <v>YES</v>
      </c>
      <c r="H85" t="s">
        <v>13</v>
      </c>
      <c r="I85" t="s">
        <v>19</v>
      </c>
      <c r="J85" t="s">
        <v>20</v>
      </c>
      <c r="K85">
        <v>202453</v>
      </c>
      <c r="L85" t="str">
        <f t="shared" si="10"/>
        <v>YES</v>
      </c>
      <c r="M85">
        <f t="shared" si="11"/>
        <v>1</v>
      </c>
      <c r="N85">
        <v>29</v>
      </c>
      <c r="O85" t="s">
        <v>26</v>
      </c>
    </row>
    <row r="86" spans="1:15" x14ac:dyDescent="0.35">
      <c r="A86">
        <v>10185</v>
      </c>
      <c r="B86" s="5">
        <v>45304</v>
      </c>
      <c r="C86" s="6">
        <f t="shared" si="6"/>
        <v>1</v>
      </c>
      <c r="D86" s="6">
        <f t="shared" si="7"/>
        <v>2</v>
      </c>
      <c r="E86" s="6">
        <f t="shared" ca="1" si="8"/>
        <v>758</v>
      </c>
      <c r="F86" t="str">
        <v>January</v>
      </c>
      <c r="G86" t="str">
        <f t="shared" si="9"/>
        <v>YES</v>
      </c>
      <c r="H86" t="s">
        <v>17</v>
      </c>
      <c r="I86" t="s">
        <v>18</v>
      </c>
      <c r="J86" t="s">
        <v>20</v>
      </c>
      <c r="K86">
        <v>229119</v>
      </c>
      <c r="L86" t="str">
        <f t="shared" si="10"/>
        <v>YES</v>
      </c>
      <c r="M86">
        <f t="shared" si="11"/>
        <v>1</v>
      </c>
      <c r="N86">
        <v>1</v>
      </c>
      <c r="O86" t="s">
        <v>26</v>
      </c>
    </row>
    <row r="87" spans="1:15" x14ac:dyDescent="0.35">
      <c r="A87">
        <v>10186</v>
      </c>
      <c r="B87" s="5">
        <v>45351</v>
      </c>
      <c r="C87" s="6">
        <f t="shared" si="6"/>
        <v>0</v>
      </c>
      <c r="D87" s="6">
        <f t="shared" si="7"/>
        <v>9</v>
      </c>
      <c r="E87" s="6">
        <f t="shared" ca="1" si="8"/>
        <v>711</v>
      </c>
      <c r="F87" t="str">
        <v>February</v>
      </c>
      <c r="G87" t="str">
        <f t="shared" si="9"/>
        <v>NO</v>
      </c>
      <c r="H87" t="s">
        <v>9</v>
      </c>
      <c r="I87" t="s">
        <v>18</v>
      </c>
      <c r="J87" t="s">
        <v>21</v>
      </c>
      <c r="K87">
        <v>191456</v>
      </c>
      <c r="L87" t="str">
        <f t="shared" si="10"/>
        <v>YES</v>
      </c>
      <c r="M87">
        <f t="shared" si="11"/>
        <v>1</v>
      </c>
      <c r="N87">
        <v>14</v>
      </c>
      <c r="O87" t="s">
        <v>25</v>
      </c>
    </row>
    <row r="88" spans="1:15" x14ac:dyDescent="0.35">
      <c r="A88">
        <v>10187</v>
      </c>
      <c r="B88" s="5">
        <v>45352</v>
      </c>
      <c r="C88" s="6">
        <f t="shared" si="6"/>
        <v>0</v>
      </c>
      <c r="D88" s="6">
        <f t="shared" si="7"/>
        <v>9</v>
      </c>
      <c r="E88" s="6">
        <f t="shared" ca="1" si="8"/>
        <v>710</v>
      </c>
      <c r="F88" t="str">
        <v>March</v>
      </c>
      <c r="G88" t="str">
        <f t="shared" si="9"/>
        <v>NO</v>
      </c>
      <c r="H88" t="s">
        <v>12</v>
      </c>
      <c r="I88" t="s">
        <v>19</v>
      </c>
      <c r="J88" t="s">
        <v>23</v>
      </c>
      <c r="K88">
        <v>348306</v>
      </c>
      <c r="L88" t="str">
        <f t="shared" si="10"/>
        <v>YES</v>
      </c>
      <c r="M88">
        <f t="shared" si="11"/>
        <v>1</v>
      </c>
      <c r="N88">
        <v>28</v>
      </c>
      <c r="O88" t="s">
        <v>25</v>
      </c>
    </row>
    <row r="89" spans="1:15" x14ac:dyDescent="0.35">
      <c r="A89">
        <v>10188</v>
      </c>
      <c r="B89" s="5">
        <v>45338</v>
      </c>
      <c r="C89" s="6">
        <f t="shared" si="6"/>
        <v>0</v>
      </c>
      <c r="D89" s="6">
        <f t="shared" si="7"/>
        <v>7</v>
      </c>
      <c r="E89" s="6">
        <f t="shared" ca="1" si="8"/>
        <v>724</v>
      </c>
      <c r="F89" t="str">
        <v>February</v>
      </c>
      <c r="G89" t="str">
        <f t="shared" si="9"/>
        <v>NO</v>
      </c>
      <c r="H89" t="s">
        <v>17</v>
      </c>
      <c r="I89" t="s">
        <v>18</v>
      </c>
      <c r="J89" t="s">
        <v>23</v>
      </c>
      <c r="K89">
        <v>214615</v>
      </c>
      <c r="L89" t="str">
        <f t="shared" si="10"/>
        <v>YES</v>
      </c>
      <c r="M89">
        <f t="shared" si="11"/>
        <v>1</v>
      </c>
      <c r="N89">
        <v>11</v>
      </c>
      <c r="O89" t="s">
        <v>27</v>
      </c>
    </row>
    <row r="90" spans="1:15" x14ac:dyDescent="0.35">
      <c r="A90">
        <v>10189</v>
      </c>
      <c r="B90" s="5">
        <v>45336</v>
      </c>
      <c r="C90" s="6">
        <f t="shared" si="6"/>
        <v>0</v>
      </c>
      <c r="D90" s="6">
        <f t="shared" si="7"/>
        <v>7</v>
      </c>
      <c r="E90" s="6">
        <f t="shared" ca="1" si="8"/>
        <v>726</v>
      </c>
      <c r="F90" t="str">
        <v>February</v>
      </c>
      <c r="G90" t="str">
        <f t="shared" si="9"/>
        <v>NO</v>
      </c>
      <c r="H90" t="s">
        <v>17</v>
      </c>
      <c r="I90" t="s">
        <v>18</v>
      </c>
      <c r="J90" t="s">
        <v>21</v>
      </c>
      <c r="K90">
        <v>101079</v>
      </c>
      <c r="L90" t="str">
        <f t="shared" si="10"/>
        <v>YES</v>
      </c>
      <c r="M90">
        <f t="shared" si="11"/>
        <v>1</v>
      </c>
      <c r="N90">
        <v>14</v>
      </c>
      <c r="O90" t="s">
        <v>27</v>
      </c>
    </row>
    <row r="91" spans="1:15" x14ac:dyDescent="0.35">
      <c r="A91">
        <v>10190</v>
      </c>
      <c r="B91" s="5">
        <v>45335</v>
      </c>
      <c r="C91" s="6">
        <f t="shared" si="6"/>
        <v>0</v>
      </c>
      <c r="D91" s="6">
        <f t="shared" si="7"/>
        <v>7</v>
      </c>
      <c r="E91" s="6">
        <f t="shared" ca="1" si="8"/>
        <v>727</v>
      </c>
      <c r="F91" t="str">
        <v>February</v>
      </c>
      <c r="G91" t="str">
        <f t="shared" si="9"/>
        <v>NO</v>
      </c>
      <c r="H91" t="s">
        <v>11</v>
      </c>
      <c r="I91" t="s">
        <v>19</v>
      </c>
      <c r="J91" t="s">
        <v>23</v>
      </c>
      <c r="K91">
        <v>213400</v>
      </c>
      <c r="L91" t="str">
        <f t="shared" si="10"/>
        <v>YES</v>
      </c>
      <c r="M91">
        <f t="shared" si="11"/>
        <v>1</v>
      </c>
      <c r="N91">
        <v>18</v>
      </c>
      <c r="O91" t="s">
        <v>25</v>
      </c>
    </row>
    <row r="92" spans="1:15" x14ac:dyDescent="0.35">
      <c r="A92">
        <v>10191</v>
      </c>
      <c r="B92" s="5">
        <v>45311</v>
      </c>
      <c r="C92" s="6">
        <f t="shared" si="6"/>
        <v>0</v>
      </c>
      <c r="D92" s="6">
        <f t="shared" si="7"/>
        <v>3</v>
      </c>
      <c r="E92" s="6">
        <f t="shared" ca="1" si="8"/>
        <v>751</v>
      </c>
      <c r="F92" t="str">
        <v>January</v>
      </c>
      <c r="G92" t="str">
        <f t="shared" si="9"/>
        <v>YES</v>
      </c>
      <c r="H92" t="s">
        <v>17</v>
      </c>
      <c r="I92" t="s">
        <v>18</v>
      </c>
      <c r="J92" t="s">
        <v>21</v>
      </c>
      <c r="K92">
        <v>225885</v>
      </c>
      <c r="L92" t="str">
        <f t="shared" si="10"/>
        <v>YES</v>
      </c>
      <c r="M92">
        <f t="shared" si="11"/>
        <v>1</v>
      </c>
      <c r="N92">
        <v>26</v>
      </c>
      <c r="O92" t="s">
        <v>26</v>
      </c>
    </row>
    <row r="93" spans="1:15" x14ac:dyDescent="0.35">
      <c r="A93">
        <v>10192</v>
      </c>
      <c r="B93" s="5">
        <v>45330</v>
      </c>
      <c r="C93" s="6">
        <f t="shared" si="6"/>
        <v>0</v>
      </c>
      <c r="D93" s="6">
        <f t="shared" si="7"/>
        <v>6</v>
      </c>
      <c r="E93" s="6">
        <f t="shared" ca="1" si="8"/>
        <v>732</v>
      </c>
      <c r="F93" t="str">
        <v>February</v>
      </c>
      <c r="G93" t="str">
        <f t="shared" si="9"/>
        <v>NO</v>
      </c>
      <c r="H93" t="s">
        <v>12</v>
      </c>
      <c r="I93" t="s">
        <v>19</v>
      </c>
      <c r="J93" t="s">
        <v>22</v>
      </c>
      <c r="K93">
        <v>232123</v>
      </c>
      <c r="L93" t="str">
        <f t="shared" si="10"/>
        <v>YES</v>
      </c>
      <c r="M93">
        <f t="shared" si="11"/>
        <v>1</v>
      </c>
      <c r="N93">
        <v>15</v>
      </c>
      <c r="O93" t="s">
        <v>24</v>
      </c>
    </row>
    <row r="94" spans="1:15" x14ac:dyDescent="0.35">
      <c r="A94">
        <v>10193</v>
      </c>
      <c r="B94" s="5">
        <v>45324</v>
      </c>
      <c r="C94" s="6">
        <f t="shared" si="6"/>
        <v>0</v>
      </c>
      <c r="D94" s="6">
        <f t="shared" si="7"/>
        <v>5</v>
      </c>
      <c r="E94" s="6">
        <f t="shared" ca="1" si="8"/>
        <v>738</v>
      </c>
      <c r="F94" t="str">
        <v>February</v>
      </c>
      <c r="G94" t="str">
        <f t="shared" si="9"/>
        <v>NO</v>
      </c>
      <c r="H94" t="s">
        <v>14</v>
      </c>
      <c r="I94" t="s">
        <v>19</v>
      </c>
      <c r="J94" t="s">
        <v>21</v>
      </c>
      <c r="K94">
        <v>345927</v>
      </c>
      <c r="L94" t="str">
        <f t="shared" si="10"/>
        <v>YES</v>
      </c>
      <c r="M94">
        <f t="shared" si="11"/>
        <v>1</v>
      </c>
      <c r="N94">
        <v>3</v>
      </c>
      <c r="O94" t="s">
        <v>28</v>
      </c>
    </row>
    <row r="95" spans="1:15" x14ac:dyDescent="0.35">
      <c r="A95">
        <v>10194</v>
      </c>
      <c r="B95" s="5">
        <v>45324</v>
      </c>
      <c r="C95" s="6">
        <f t="shared" si="6"/>
        <v>0</v>
      </c>
      <c r="D95" s="6">
        <f t="shared" si="7"/>
        <v>5</v>
      </c>
      <c r="E95" s="6">
        <f t="shared" ca="1" si="8"/>
        <v>738</v>
      </c>
      <c r="F95" t="str">
        <v>February</v>
      </c>
      <c r="G95" t="str">
        <f t="shared" si="9"/>
        <v>NO</v>
      </c>
      <c r="H95" t="s">
        <v>13</v>
      </c>
      <c r="I95" t="s">
        <v>19</v>
      </c>
      <c r="J95" t="s">
        <v>23</v>
      </c>
      <c r="K95">
        <v>49461</v>
      </c>
      <c r="L95" t="str">
        <f t="shared" si="10"/>
        <v>NO</v>
      </c>
      <c r="M95">
        <f t="shared" si="11"/>
        <v>0</v>
      </c>
      <c r="N95">
        <v>27</v>
      </c>
      <c r="O95" t="s">
        <v>24</v>
      </c>
    </row>
    <row r="96" spans="1:15" x14ac:dyDescent="0.35">
      <c r="A96">
        <v>10195</v>
      </c>
      <c r="B96" s="5">
        <v>45335</v>
      </c>
      <c r="C96" s="6">
        <f t="shared" si="6"/>
        <v>0</v>
      </c>
      <c r="D96" s="6">
        <f t="shared" si="7"/>
        <v>7</v>
      </c>
      <c r="E96" s="6">
        <f t="shared" ca="1" si="8"/>
        <v>727</v>
      </c>
      <c r="F96" t="str">
        <v>February</v>
      </c>
      <c r="G96" t="str">
        <f t="shared" si="9"/>
        <v>NO</v>
      </c>
      <c r="H96" t="s">
        <v>17</v>
      </c>
      <c r="I96" t="s">
        <v>18</v>
      </c>
      <c r="J96" t="s">
        <v>21</v>
      </c>
      <c r="K96">
        <v>104901</v>
      </c>
      <c r="L96" t="str">
        <f t="shared" si="10"/>
        <v>YES</v>
      </c>
      <c r="M96">
        <f t="shared" si="11"/>
        <v>1</v>
      </c>
      <c r="N96">
        <v>5</v>
      </c>
      <c r="O96" t="s">
        <v>25</v>
      </c>
    </row>
    <row r="97" spans="1:15" x14ac:dyDescent="0.35">
      <c r="A97">
        <v>10196</v>
      </c>
      <c r="B97" s="5">
        <v>45294</v>
      </c>
      <c r="C97" s="6">
        <f t="shared" si="6"/>
        <v>1</v>
      </c>
      <c r="D97" s="6">
        <f t="shared" si="7"/>
        <v>1</v>
      </c>
      <c r="E97" s="6">
        <f t="shared" ca="1" si="8"/>
        <v>768</v>
      </c>
      <c r="F97" t="str">
        <v>January</v>
      </c>
      <c r="G97" t="str">
        <f t="shared" si="9"/>
        <v>YES</v>
      </c>
      <c r="H97" t="s">
        <v>10</v>
      </c>
      <c r="I97" t="s">
        <v>19</v>
      </c>
      <c r="J97" t="s">
        <v>22</v>
      </c>
      <c r="K97">
        <v>320983</v>
      </c>
      <c r="L97" t="str">
        <f t="shared" si="10"/>
        <v>YES</v>
      </c>
      <c r="M97">
        <f t="shared" si="11"/>
        <v>1</v>
      </c>
      <c r="N97">
        <v>28</v>
      </c>
      <c r="O97" t="s">
        <v>25</v>
      </c>
    </row>
    <row r="98" spans="1:15" x14ac:dyDescent="0.35">
      <c r="A98">
        <v>10197</v>
      </c>
      <c r="B98" s="5">
        <v>45321</v>
      </c>
      <c r="C98" s="6">
        <f t="shared" si="6"/>
        <v>0</v>
      </c>
      <c r="D98" s="6">
        <f t="shared" si="7"/>
        <v>5</v>
      </c>
      <c r="E98" s="6">
        <f t="shared" ca="1" si="8"/>
        <v>741</v>
      </c>
      <c r="F98" t="str">
        <v>January</v>
      </c>
      <c r="G98" t="str">
        <f t="shared" si="9"/>
        <v>YES</v>
      </c>
      <c r="H98" t="s">
        <v>16</v>
      </c>
      <c r="I98" t="s">
        <v>18</v>
      </c>
      <c r="J98" t="s">
        <v>21</v>
      </c>
      <c r="K98">
        <v>201815</v>
      </c>
      <c r="L98" t="str">
        <f t="shared" si="10"/>
        <v>YES</v>
      </c>
      <c r="M98">
        <f t="shared" si="11"/>
        <v>1</v>
      </c>
      <c r="N98">
        <v>16</v>
      </c>
      <c r="O98" t="s">
        <v>27</v>
      </c>
    </row>
    <row r="99" spans="1:15" x14ac:dyDescent="0.35">
      <c r="A99">
        <v>10198</v>
      </c>
      <c r="B99" s="5">
        <v>45307</v>
      </c>
      <c r="C99" s="6">
        <f t="shared" si="6"/>
        <v>0</v>
      </c>
      <c r="D99" s="6">
        <f t="shared" si="7"/>
        <v>3</v>
      </c>
      <c r="E99" s="6">
        <f t="shared" ca="1" si="8"/>
        <v>755</v>
      </c>
      <c r="F99" t="str">
        <v>January</v>
      </c>
      <c r="G99" t="str">
        <f t="shared" si="9"/>
        <v>YES</v>
      </c>
      <c r="H99" t="s">
        <v>11</v>
      </c>
      <c r="I99" t="s">
        <v>19</v>
      </c>
      <c r="J99" t="s">
        <v>20</v>
      </c>
      <c r="K99">
        <v>56382</v>
      </c>
      <c r="L99" t="str">
        <f t="shared" si="10"/>
        <v>NO</v>
      </c>
      <c r="M99">
        <f t="shared" si="11"/>
        <v>1</v>
      </c>
      <c r="N99">
        <v>25</v>
      </c>
      <c r="O99" t="s">
        <v>27</v>
      </c>
    </row>
    <row r="100" spans="1:15" x14ac:dyDescent="0.35">
      <c r="A100">
        <v>10199</v>
      </c>
      <c r="B100" s="5">
        <v>45306</v>
      </c>
      <c r="C100" s="6">
        <f t="shared" si="6"/>
        <v>0</v>
      </c>
      <c r="D100" s="6">
        <f t="shared" si="7"/>
        <v>3</v>
      </c>
      <c r="E100" s="6">
        <f t="shared" ca="1" si="8"/>
        <v>756</v>
      </c>
      <c r="F100" t="str">
        <v>January</v>
      </c>
      <c r="G100" t="str">
        <f t="shared" si="9"/>
        <v>YES</v>
      </c>
      <c r="H100" t="s">
        <v>11</v>
      </c>
      <c r="I100" t="s">
        <v>19</v>
      </c>
      <c r="J100" t="s">
        <v>22</v>
      </c>
      <c r="K100">
        <v>26828</v>
      </c>
      <c r="L100" t="str">
        <f t="shared" si="10"/>
        <v>NO</v>
      </c>
      <c r="M100">
        <f t="shared" si="11"/>
        <v>0</v>
      </c>
      <c r="N100">
        <v>18</v>
      </c>
      <c r="O100" t="s">
        <v>24</v>
      </c>
    </row>
    <row r="101" spans="1:15" x14ac:dyDescent="0.35">
      <c r="A101">
        <v>10200</v>
      </c>
      <c r="B101" s="5">
        <v>45350</v>
      </c>
      <c r="C101" s="6">
        <f t="shared" si="6"/>
        <v>0</v>
      </c>
      <c r="D101" s="6">
        <f t="shared" si="7"/>
        <v>9</v>
      </c>
      <c r="E101" s="6">
        <f t="shared" ca="1" si="8"/>
        <v>712</v>
      </c>
      <c r="F101" t="str">
        <v>February</v>
      </c>
      <c r="G101" t="str">
        <f t="shared" si="9"/>
        <v>NO</v>
      </c>
      <c r="H101" t="s">
        <v>8</v>
      </c>
      <c r="I101" t="s">
        <v>18</v>
      </c>
      <c r="J101" t="s">
        <v>22</v>
      </c>
      <c r="K101">
        <v>70408</v>
      </c>
      <c r="L101" t="str">
        <f t="shared" si="10"/>
        <v>NO</v>
      </c>
      <c r="M101">
        <f t="shared" si="11"/>
        <v>1</v>
      </c>
      <c r="N101">
        <v>26</v>
      </c>
      <c r="O1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ARAQ</dc:creator>
  <cp:lastModifiedBy>Abdulqudus Abdulrahman</cp:lastModifiedBy>
  <dcterms:created xsi:type="dcterms:W3CDTF">2025-11-24T12:57:25Z</dcterms:created>
  <dcterms:modified xsi:type="dcterms:W3CDTF">2026-02-09T13:28:40Z</dcterms:modified>
</cp:coreProperties>
</file>